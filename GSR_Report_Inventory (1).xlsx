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abbott-my.sharepoint.com/personal/kiran_ganji_abbott_com/Documents/2026/GSR/"/>
    </mc:Choice>
  </mc:AlternateContent>
  <xr:revisionPtr revIDLastSave="0" documentId="8_{254F4955-6C08-4984-A584-BC7BC4C6B2F6}" xr6:coauthVersionLast="47" xr6:coauthVersionMax="47" xr10:uidLastSave="{00000000-0000-0000-0000-000000000000}"/>
  <bookViews>
    <workbookView xWindow="-120" yWindow="-120" windowWidth="29040" windowHeight="15720" tabRatio="666" firstSheet="2" xr2:uid="{00000000-000D-0000-FFFF-FFFF00000000}"/>
  </bookViews>
  <sheets>
    <sheet name="All Reports - Today" sheetId="6" r:id="rId1"/>
    <sheet name="Summary" sheetId="1" state="hidden" r:id="rId2"/>
    <sheet name="Reports - New Category" sheetId="2" r:id="rId3"/>
    <sheet name="Power BI Reports" sheetId="3" r:id="rId4"/>
    <sheet name="Category - LoV" sheetId="4" r:id="rId5"/>
    <sheet name="Utilization top 30" sheetId="5" r:id="rId6"/>
    <sheet name="Utilization bottom 30" sheetId="7" r:id="rId7"/>
  </sheets>
  <definedNames>
    <definedName name="_xlnm._FilterDatabase" localSheetId="0" hidden="1">'All Reports - Today'!$A$1:$E$73</definedName>
    <definedName name="_xlnm._FilterDatabase" localSheetId="6" hidden="1">'Utilization bottom 30'!$C$1:$D$1</definedName>
    <definedName name="_xlnm._FilterDatabase" localSheetId="5" hidden="1">'Utilization top 30'!$B$1:$D$31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6" l="1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2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2" i="5"/>
  <c r="C61" i="2" l="1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A5" i="1" l="1"/>
  <c r="B15" i="1"/>
  <c r="E5" i="1"/>
  <c r="B17" i="1"/>
</calcChain>
</file>

<file path=xl/sharedStrings.xml><?xml version="1.0" encoding="utf-8"?>
<sst xmlns="http://schemas.openxmlformats.org/spreadsheetml/2006/main" count="505" uniqueCount="205">
  <si>
    <t>Strategic Bucket</t>
  </si>
  <si>
    <t>Report Name</t>
  </si>
  <si>
    <t>Deactivate</t>
  </si>
  <si>
    <t>Delete</t>
  </si>
  <si>
    <t>Report Found</t>
  </si>
  <si>
    <t>Service Operational Performance</t>
  </si>
  <si>
    <t>Area Dashboard</t>
  </si>
  <si>
    <t>Service Manager Reports</t>
  </si>
  <si>
    <t>TSS Stats</t>
  </si>
  <si>
    <t>Response Time Report</t>
  </si>
  <si>
    <t>Service Capacity Model</t>
  </si>
  <si>
    <t>Service Business Review</t>
  </si>
  <si>
    <t>Uptime</t>
  </si>
  <si>
    <t>Timeliness Viewer</t>
  </si>
  <si>
    <t>My Service Excellence</t>
  </si>
  <si>
    <t>Service Excellence</t>
  </si>
  <si>
    <t>Cost of Service &amp; Financial Analytics</t>
  </si>
  <si>
    <t>Cost Per Box Model</t>
  </si>
  <si>
    <t>Country Reports</t>
  </si>
  <si>
    <t>Finance Cost of Service Data</t>
  </si>
  <si>
    <t>Country Margin Schedule (Core + HEMA)</t>
  </si>
  <si>
    <t>Country Margin Schedule (Transfusion)</t>
  </si>
  <si>
    <t>Yes</t>
  </si>
  <si>
    <t>SEAS Codes</t>
  </si>
  <si>
    <t>Parts Missing Costs</t>
  </si>
  <si>
    <t>PM Effectiveness Report</t>
  </si>
  <si>
    <t>Customer Experience &amp; Voice of Customer</t>
  </si>
  <si>
    <t>Customer Dashboard</t>
  </si>
  <si>
    <t>Customer Reports</t>
  </si>
  <si>
    <t>Net Promoter Score Reports</t>
  </si>
  <si>
    <t>Loyalty Drivers Report</t>
  </si>
  <si>
    <t>Customer 360</t>
  </si>
  <si>
    <t>Landmark Customers</t>
  </si>
  <si>
    <t>Customer Assay Usage Report</t>
  </si>
  <si>
    <t>CRL Management Report</t>
  </si>
  <si>
    <t>Asset Performance &amp; Reliability</t>
  </si>
  <si>
    <t>Mean Time Between Failures (MTBF)</t>
  </si>
  <si>
    <t>FASTR</t>
  </si>
  <si>
    <t>FASTR2</t>
  </si>
  <si>
    <t>Installed Base Viewer</t>
  </si>
  <si>
    <t>Instrument Maintenance</t>
  </si>
  <si>
    <t>SIFT Viewer</t>
  </si>
  <si>
    <t>Active Instrument Utilization</t>
  </si>
  <si>
    <t>IWATCH Viewer</t>
  </si>
  <si>
    <t>Integrated Products</t>
  </si>
  <si>
    <t>Preventive Maintenance &amp; Service Quality</t>
  </si>
  <si>
    <t>PM Monitoring</t>
  </si>
  <si>
    <t>Labor Duration by Experience Code</t>
  </si>
  <si>
    <t>ISO Training Report</t>
  </si>
  <si>
    <t>Warranty Report</t>
  </si>
  <si>
    <t>AbbottLink &amp; Digital Connectivity</t>
  </si>
  <si>
    <t>ONeview</t>
  </si>
  <si>
    <t>AbbottLink Census Goals &amp; Connectivity Report</t>
  </si>
  <si>
    <t>AbbottLink System Monitoring (BETA)</t>
  </si>
  <si>
    <t>AbbottLink Utilization Report</t>
  </si>
  <si>
    <t>ONeview Usage</t>
  </si>
  <si>
    <t>ONeview Service Managers</t>
  </si>
  <si>
    <t>Remote Support</t>
  </si>
  <si>
    <t>STS User &amp; Usage Reports (BETA)</t>
  </si>
  <si>
    <t>Parts, Supply Chain &amp; Inventory</t>
  </si>
  <si>
    <t>Global Inventory Report</t>
  </si>
  <si>
    <t>Parts Viewer</t>
  </si>
  <si>
    <t>Spare Part Report</t>
  </si>
  <si>
    <t>Customer Parts and Accessories</t>
  </si>
  <si>
    <t>Global Supply Chain (GSC) Spare Parts</t>
  </si>
  <si>
    <t>Product Lines</t>
  </si>
  <si>
    <t>Installation &amp; Lifecycle Management</t>
  </si>
  <si>
    <t>Installation Metrics</t>
  </si>
  <si>
    <t>TOR Dashboard</t>
  </si>
  <si>
    <t>Test of Record Viewer</t>
  </si>
  <si>
    <t>ELGA Water Purification Tracking Report</t>
  </si>
  <si>
    <t>Technical Bulletins &amp; Product Actions</t>
  </si>
  <si>
    <t>IBP Technical Service Bulletin Forecasting</t>
  </si>
  <si>
    <t>TSB Viewer</t>
  </si>
  <si>
    <t>TSB Retrofit Viewer (Monthly Business Segments)</t>
  </si>
  <si>
    <t>Action Taken Codes</t>
  </si>
  <si>
    <t>Reason for Action Codes</t>
  </si>
  <si>
    <t>Trending Buckets</t>
  </si>
  <si>
    <t>Reference Data &amp; Search Tools</t>
  </si>
  <si>
    <t>Areas / Countries</t>
  </si>
  <si>
    <t>GSR Organizations</t>
  </si>
  <si>
    <t>Servicing Groups</t>
  </si>
  <si>
    <t>Tool Usage (KM, POM, &amp; MobileOne)</t>
  </si>
  <si>
    <t>Instrument Search</t>
  </si>
  <si>
    <t>Ticket Search</t>
  </si>
  <si>
    <t>Aging Ticket Viewer</t>
  </si>
  <si>
    <t>Blood Screening Report</t>
  </si>
  <si>
    <t>Helios Telephony System Reports</t>
  </si>
  <si>
    <t>GSR Dashboard Report Inventory</t>
  </si>
  <si>
    <t>Manager review copy • Report names preserved exactly as provided • Prepared 31 Jul 2026</t>
  </si>
  <si>
    <t>UNIQUE GSR REPORTS</t>
  </si>
  <si>
    <t>POWER BI REPORTS</t>
  </si>
  <si>
    <t>DUPLICATE GSR ENTRIES</t>
  </si>
  <si>
    <t>Manager Review Notes</t>
  </si>
  <si>
    <t>1</t>
  </si>
  <si>
    <t>The GSR sheet contains 58 unique report names.</t>
  </si>
  <si>
    <t>2</t>
  </si>
  <si>
    <t>The Power BI sheet contains 10 actual reports; the landing page and the Weekly/Daily labels are classified separately.</t>
  </si>
  <si>
    <t>3</t>
  </si>
  <si>
    <t>Use the Review Status dropdown to mark each item as Keep, Review, Hide, or Not Working.</t>
  </si>
  <si>
    <t>4</t>
  </si>
  <si>
    <t>No report name has been renamed, corrected, or removed in this workbook.</t>
  </si>
  <si>
    <t>Inventory Category</t>
  </si>
  <si>
    <t>Count</t>
  </si>
  <si>
    <t>Unique GSR Reports</t>
  </si>
  <si>
    <t>Power BI Reports</t>
  </si>
  <si>
    <t>Duplicate GSR Entries</t>
  </si>
  <si>
    <t>GSR Report Inventory</t>
  </si>
  <si>
    <t>S No</t>
  </si>
  <si>
    <t>GSR Report Name</t>
  </si>
  <si>
    <t>Duplicate Check</t>
  </si>
  <si>
    <t>Review Status</t>
  </si>
  <si>
    <t>Category</t>
  </si>
  <si>
    <t>Shown in new UI</t>
  </si>
  <si>
    <t>Ticket Insights</t>
  </si>
  <si>
    <t>yes</t>
  </si>
  <si>
    <t>Ticket Details</t>
  </si>
  <si>
    <t>not there</t>
  </si>
  <si>
    <t>Service Performance Metrics</t>
  </si>
  <si>
    <t>SIFT Details</t>
  </si>
  <si>
    <t>Cost of Service</t>
  </si>
  <si>
    <t>Instrument Performance or Reliability</t>
  </si>
  <si>
    <t>Inventory or Parts Related</t>
  </si>
  <si>
    <t>Remote Support or AbbottLink</t>
  </si>
  <si>
    <t>Assay Report</t>
  </si>
  <si>
    <t>Aging</t>
  </si>
  <si>
    <t>Customer Experience</t>
  </si>
  <si>
    <t>Contact Center Reports</t>
  </si>
  <si>
    <t>Area Service Info</t>
  </si>
  <si>
    <t>Service Capacity Model - Data Entry</t>
  </si>
  <si>
    <t>Service Contract Viewer</t>
  </si>
  <si>
    <t>Instrument Health Report</t>
  </si>
  <si>
    <t>yes (customer repoprts)</t>
  </si>
  <si>
    <t>IBP - TSB Forecasting</t>
  </si>
  <si>
    <t>Part Usage Data</t>
  </si>
  <si>
    <t>yes (not exact name)</t>
  </si>
  <si>
    <t>Country Margin Schedule</t>
  </si>
  <si>
    <t>Finance Related</t>
  </si>
  <si>
    <t>Global Service PBI Home Page</t>
  </si>
  <si>
    <t>Assay Watch</t>
  </si>
  <si>
    <t>Alinity Dashboard</t>
  </si>
  <si>
    <t>yes (TOR Dasboard)</t>
  </si>
  <si>
    <t>IHR Customer Report</t>
  </si>
  <si>
    <t>Global Supply Chain</t>
  </si>
  <si>
    <t>Customer Assay Usage</t>
  </si>
  <si>
    <t>ONeView Usage Report</t>
  </si>
  <si>
    <t>MTBF</t>
  </si>
  <si>
    <t>Test of record</t>
  </si>
  <si>
    <t>GSR Main Menu</t>
  </si>
  <si>
    <t>ONeview Service Mgr Report</t>
  </si>
  <si>
    <t>Distributor Portal</t>
  </si>
  <si>
    <t>ELGA</t>
  </si>
  <si>
    <t>IWatch</t>
  </si>
  <si>
    <t>Accelerator APS Service Reports</t>
  </si>
  <si>
    <t>N</t>
  </si>
  <si>
    <t>Call Center Maintenance</t>
  </si>
  <si>
    <t>yes (helios telephony)</t>
  </si>
  <si>
    <t>Country Margin Schedule - Transfusion</t>
  </si>
  <si>
    <t>yes (core + hema)</t>
  </si>
  <si>
    <t>Power BI Report Inventory</t>
  </si>
  <si>
    <t>Metric</t>
  </si>
  <si>
    <t>Value</t>
  </si>
  <si>
    <t>Landing page and section labels are separated from the 10 actual Power BI reports.</t>
  </si>
  <si>
    <t>Actual Power BI Reports</t>
  </si>
  <si>
    <t>Power BI Report Name</t>
  </si>
  <si>
    <t>Record Type</t>
  </si>
  <si>
    <t>Manager Notes</t>
  </si>
  <si>
    <t>Alinity ci High Level Reliability</t>
  </si>
  <si>
    <t>Report</t>
  </si>
  <si>
    <t>Alinity ci PM and TC Status</t>
  </si>
  <si>
    <t>Hard Stops – Likely Causes</t>
  </si>
  <si>
    <t>Transfusion IDRS Test Volume Report</t>
  </si>
  <si>
    <t>a3600 Dashboard</t>
  </si>
  <si>
    <t>Alinity Online Data Quality</t>
  </si>
  <si>
    <t>Alinity PdM Scorecard</t>
  </si>
  <si>
    <t>Alinity s Customer Health Dashboard</t>
  </si>
  <si>
    <t>Operator Maintenance</t>
  </si>
  <si>
    <t>Test of Record Compliance</t>
  </si>
  <si>
    <t>Report Category</t>
  </si>
  <si>
    <t>Report Categories</t>
  </si>
  <si>
    <t>Intrument Service Related</t>
  </si>
  <si>
    <t>Ticket Related</t>
  </si>
  <si>
    <t xml:space="preserve">Service Performance </t>
  </si>
  <si>
    <t xml:space="preserve">Service Metrics </t>
  </si>
  <si>
    <t>PowerBI Reports</t>
  </si>
  <si>
    <t>Instrument Reliability &amp; Performance</t>
  </si>
  <si>
    <t>Area Service Reports</t>
  </si>
  <si>
    <t>Inventory and Parts Reports</t>
  </si>
  <si>
    <t>Instrument Specific Reports</t>
  </si>
  <si>
    <t>Customer Success</t>
  </si>
  <si>
    <t>Financial Metrics</t>
  </si>
  <si>
    <t>AbbottLink</t>
  </si>
  <si>
    <t>powerBI Reports</t>
  </si>
  <si>
    <t>Customer Related</t>
  </si>
  <si>
    <t>Reference Reports</t>
  </si>
  <si>
    <t>Secondary Reports</t>
  </si>
  <si>
    <t>User Count</t>
  </si>
  <si>
    <t>In Peter's?</t>
  </si>
  <si>
    <t>Help</t>
  </si>
  <si>
    <t>S.no</t>
  </si>
  <si>
    <t>Tool Usage</t>
  </si>
  <si>
    <t>Labor Duration (Exp Codes)</t>
  </si>
  <si>
    <t>AbbottLink Census Goals &amp; Connectivity Report - OLD</t>
  </si>
  <si>
    <t>Net Promoter Score - OLD</t>
  </si>
  <si>
    <t>Access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</si>
</sst>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Carlito"/>
    </font>
    <font>
      <sz val="11"/>
      <color theme="1"/>
      <name val="Calibri"/>
      <family val="2"/>
      <scheme val="minor"/>
    </font>
    <font>
      <b/>
      <sz val="20"/>
      <color rgb="FFFFFFFF"/>
      <name val="Carlito"/>
    </font>
    <font>
      <i/>
      <sz val="10"/>
      <color rgb="FF64748B"/>
      <name val="Carlito"/>
    </font>
    <font>
      <b/>
      <sz val="10"/>
      <color rgb="FFFFFFFF"/>
      <name val="Carlito"/>
    </font>
    <font>
      <b/>
      <sz val="24"/>
      <color rgb="FF003087"/>
      <name val="Carlito"/>
    </font>
    <font>
      <b/>
      <sz val="24"/>
      <color rgb="FF0F766E"/>
      <name val="Carlito"/>
    </font>
    <font>
      <b/>
      <sz val="24"/>
      <color rgb="FFB45309"/>
      <name val="Carlito"/>
    </font>
    <font>
      <b/>
      <sz val="12"/>
      <color rgb="FFFFFFFF"/>
      <name val="Carlito"/>
    </font>
    <font>
      <b/>
      <sz val="11"/>
      <color rgb="FF003087"/>
      <name val="Carlito"/>
    </font>
    <font>
      <sz val="10"/>
      <color rgb="FF1E293B"/>
      <name val="Carlito"/>
    </font>
    <font>
      <b/>
      <sz val="11"/>
      <color rgb="FFFFFFFF"/>
      <name val="Carlito"/>
    </font>
    <font>
      <sz val="11"/>
      <color rgb="FF1E293B"/>
      <name val="Carlito"/>
    </font>
    <font>
      <b/>
      <sz val="18"/>
      <color rgb="FFFFFFFF"/>
      <name val="Carlito"/>
    </font>
    <font>
      <i/>
      <sz val="11"/>
      <color rgb="FF64748B"/>
      <name val="Carlito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rlito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3087"/>
      </patternFill>
    </fill>
    <fill>
      <patternFill patternType="solid">
        <fgColor rgb="FFEAF3FA"/>
      </patternFill>
    </fill>
    <fill>
      <patternFill patternType="solid">
        <fgColor rgb="FF0066B3"/>
      </patternFill>
    </fill>
    <fill>
      <patternFill patternType="solid">
        <fgColor rgb="FFF4F8FC"/>
      </patternFill>
    </fill>
    <fill>
      <patternFill patternType="solid">
        <fgColor rgb="FFDFF3ED"/>
      </patternFill>
    </fill>
    <fill>
      <patternFill patternType="solid">
        <fgColor rgb="FFFEF3C7"/>
      </patternFill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1F4E78"/>
      </patternFill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5" fillId="9" borderId="0" applyNumberFormat="0" applyBorder="0" applyAlignment="0" applyProtection="0"/>
    <xf numFmtId="0" fontId="16" fillId="10" borderId="0" applyNumberFormat="0" applyBorder="0" applyAlignment="0" applyProtection="0"/>
    <xf numFmtId="0" fontId="1" fillId="0" borderId="0"/>
  </cellStyleXfs>
  <cellXfs count="37">
    <xf numFmtId="0" fontId="0" fillId="0" borderId="0" xfId="0"/>
    <xf numFmtId="0" fontId="11" fillId="2" borderId="0" xfId="0" applyFont="1" applyFill="1"/>
    <xf numFmtId="0" fontId="0" fillId="0" borderId="0" xfId="0" applyAlignment="1">
      <alignment wrapText="1"/>
    </xf>
    <xf numFmtId="0" fontId="9" fillId="3" borderId="0" xfId="0" applyFont="1" applyFill="1" applyAlignment="1">
      <alignment horizontal="center" vertical="top" wrapText="1"/>
    </xf>
    <xf numFmtId="0" fontId="11" fillId="2" borderId="0" xfId="0" applyFont="1" applyFill="1" applyAlignment="1">
      <alignment horizontal="center" wrapText="1"/>
    </xf>
    <xf numFmtId="0" fontId="12" fillId="8" borderId="0" xfId="0" applyFont="1" applyFill="1" applyAlignment="1">
      <alignment wrapText="1"/>
    </xf>
    <xf numFmtId="0" fontId="11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2" fillId="5" borderId="0" xfId="0" applyFont="1" applyFill="1"/>
    <xf numFmtId="0" fontId="17" fillId="11" borderId="0" xfId="0" applyFont="1" applyFill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7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3"/>
    <xf numFmtId="0" fontId="15" fillId="9" borderId="0" xfId="1" applyAlignment="1">
      <alignment vertical="center" wrapText="1"/>
    </xf>
    <xf numFmtId="0" fontId="15" fillId="9" borderId="0" xfId="1" applyAlignment="1">
      <alignment horizontal="right" vertical="center" wrapText="1"/>
    </xf>
    <xf numFmtId="0" fontId="15" fillId="9" borderId="0" xfId="1"/>
    <xf numFmtId="0" fontId="15" fillId="9" borderId="0" xfId="1" applyAlignment="1">
      <alignment horizontal="right"/>
    </xf>
    <xf numFmtId="0" fontId="19" fillId="13" borderId="0" xfId="0" applyFont="1" applyFill="1"/>
    <xf numFmtId="0" fontId="20" fillId="0" borderId="0" xfId="0" applyFont="1"/>
    <xf numFmtId="0" fontId="18" fillId="12" borderId="0" xfId="3" applyFont="1" applyFill="1" applyAlignment="1">
      <alignment horizontal="center"/>
    </xf>
    <xf numFmtId="0" fontId="16" fillId="10" borderId="0" xfId="2" applyAlignment="1">
      <alignment vertical="center"/>
    </xf>
    <xf numFmtId="0" fontId="16" fillId="10" borderId="0" xfId="2" applyAlignment="1">
      <alignment vertical="center" wrapText="1"/>
    </xf>
    <xf numFmtId="0" fontId="10" fillId="10" borderId="0" xfId="2" applyFont="1" applyAlignment="1">
      <alignment vertical="center" wrapText="1"/>
    </xf>
    <xf numFmtId="0" fontId="1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0" fontId="10" fillId="8" borderId="0" xfId="0" applyFont="1" applyFill="1" applyAlignment="1">
      <alignment vertical="top" wrapText="1"/>
    </xf>
    <xf numFmtId="0" fontId="14" fillId="3" borderId="0" xfId="0" applyFont="1" applyFill="1" applyAlignment="1">
      <alignment horizontal="center"/>
    </xf>
  </cellXfs>
  <cellStyles count="4">
    <cellStyle name="Bad" xfId="1" builtinId="27"/>
    <cellStyle name="Neutral" xfId="2" builtinId="28"/>
    <cellStyle name="Normal" xfId="0" builtinId="0"/>
    <cellStyle name="Normal 2" xfId="3" xr:uid="{4EB9AA30-88A1-4FB2-8C42-E00FC3671C2D}"/>
  </cellStyles>
  <dxfs count="10">
    <dxf>
      <font>
        <b/>
        <color rgb="FFB45309"/>
      </font>
      <fill>
        <patternFill patternType="solid">
          <bgColor rgb="FFFEF3C7"/>
        </patternFill>
      </fill>
    </dxf>
    <dxf>
      <font>
        <b/>
        <color rgb="FF003087"/>
      </font>
      <fill>
        <patternFill patternType="solid">
          <bgColor rgb="FFEAF3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E293B"/>
        <name val="Carlito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E293B"/>
        <name val="Carlito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E293B"/>
        <name val="Carlito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E293B"/>
        <name val="Carlito"/>
        <scheme val="none"/>
      </font>
      <alignment horizontal="general" vertical="center" textRotation="0" wrapText="1" indent="0" justifyLastLine="0" shrinkToFit="0" readingOrder="0"/>
    </dxf>
    <dxf>
      <font>
        <color rgb="FFB91C1C"/>
      </font>
      <fill>
        <patternFill patternType="solid">
          <bgColor rgb="FFFEE2E2"/>
        </patternFill>
      </fill>
    </dxf>
    <dxf>
      <font>
        <color rgb="FFB45309"/>
      </font>
      <fill>
        <patternFill patternType="solid">
          <bgColor rgb="FFFEF3C7"/>
        </patternFill>
      </fill>
    </dxf>
    <dxf>
      <font>
        <color rgb="FF0F766E"/>
      </font>
      <fill>
        <patternFill patternType="solid">
          <bgColor rgb="FFDFF3ED"/>
        </patternFill>
      </fill>
    </dxf>
    <dxf>
      <font>
        <b/>
        <color rgb="FFB91C1C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SRReportInventory" displayName="GSRReportInventory" ref="A3:H61">
  <autoFilter ref="A3:H61" xr:uid="{00000000-000C-0000-FFFF-FFFF00000000}"/>
  <tableColumns count="8">
    <tableColumn id="1" xr3:uid="{00000000-0010-0000-0000-000001000000}" name="S No"/>
    <tableColumn id="2" xr3:uid="{00000000-0010-0000-0000-000002000000}" name="GSR Report Name"/>
    <tableColumn id="3" xr3:uid="{00000000-0010-0000-0000-000003000000}" name="Duplicate Check"/>
    <tableColumn id="4" xr3:uid="{00000000-0010-0000-0000-000004000000}" name="Review Status"/>
    <tableColumn id="6" xr3:uid="{4F2FCE3A-770B-4D27-B1E3-2C5D0164A6CD}" name="Category" dataDxfId="5"/>
    <tableColumn id="7" xr3:uid="{4ADE1D38-B85C-4B90-8960-92EFA828F6CB}" name="Deactivate" dataDxfId="4"/>
    <tableColumn id="8" xr3:uid="{9C903408-1824-4B05-8090-A87A0A2E8F60}" name="Delete" dataDxfId="3"/>
    <tableColumn id="9" xr3:uid="{053B8AD4-257F-4EB3-88B5-5DEEC41ACB61}" name="Shown in new UI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owerBIReportInventory" displayName="PowerBIReportInventory" ref="A4:E14">
  <tableColumns count="5">
    <tableColumn id="1" xr3:uid="{00000000-0010-0000-0100-000001000000}" name="S No"/>
    <tableColumn id="2" xr3:uid="{00000000-0010-0000-0100-000002000000}" name="Power BI Report Name"/>
    <tableColumn id="3" xr3:uid="{00000000-0010-0000-0100-000003000000}" name="Record Type"/>
    <tableColumn id="4" xr3:uid="{00000000-0010-0000-0100-000004000000}" name="Review Status"/>
    <tableColumn id="5" xr3:uid="{00000000-0010-0000-0100-000005000000}" name="Manager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A8A13-AB56-4717-8599-1461CAF87024}">
  <dimension ref="A1:E73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/>
  <cols>
    <col min="1" max="1" width="35" style="16" customWidth="1"/>
    <col min="2" max="2" width="43.75" style="16" customWidth="1"/>
    <col min="3" max="3" width="14.5" style="16" customWidth="1"/>
    <col min="4" max="4" width="10.75" style="16" customWidth="1"/>
    <col min="5" max="5" width="19.75" style="16" customWidth="1"/>
    <col min="6" max="16384" width="9" style="16"/>
  </cols>
  <sheetData>
    <row r="1" spans="1: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</row>
    <row r="2" spans="1:5">
      <c r="A2" s="16" t="s">
        <v>5</v>
      </c>
      <c r="B2" s="16" t="s">
        <v>6</v>
      </c>
      <c r="E2" s="16">
        <f>_xlfn.XLOOKUP(B2,'Reports - New Category'!$B$4:$B$61,'Reports - New Category'!$A$4:$A$61,"No")</f>
        <v>27</v>
      </c>
    </row>
    <row r="3" spans="1:5">
      <c r="A3" s="16" t="s">
        <v>5</v>
      </c>
      <c r="B3" s="16" t="s">
        <v>7</v>
      </c>
      <c r="E3" s="16">
        <f>_xlfn.XLOOKUP(B3,'Reports - New Category'!$B$4:$B$61,'Reports - New Category'!$A$4:$A$61,"No")</f>
        <v>20</v>
      </c>
    </row>
    <row r="4" spans="1:5">
      <c r="A4" s="16" t="s">
        <v>5</v>
      </c>
      <c r="B4" s="16" t="s">
        <v>8</v>
      </c>
      <c r="E4" s="16" t="str">
        <f>_xlfn.XLOOKUP(B4,'Reports - New Category'!$B$4:$B$61,'Reports - New Category'!$A$4:$A$61,"No")</f>
        <v>No</v>
      </c>
    </row>
    <row r="5" spans="1:5">
      <c r="A5" s="16" t="s">
        <v>5</v>
      </c>
      <c r="B5" s="16" t="s">
        <v>9</v>
      </c>
      <c r="E5" s="16" t="str">
        <f>_xlfn.XLOOKUP(B5,'Reports - New Category'!$B$4:$B$61,'Reports - New Category'!$A$4:$A$61,"No")</f>
        <v>No</v>
      </c>
    </row>
    <row r="6" spans="1:5">
      <c r="A6" s="16" t="s">
        <v>5</v>
      </c>
      <c r="B6" s="16" t="s">
        <v>10</v>
      </c>
      <c r="E6" s="16">
        <f>_xlfn.XLOOKUP(B6,'Reports - New Category'!$B$4:$B$61,'Reports - New Category'!$A$4:$A$61,"No")</f>
        <v>3</v>
      </c>
    </row>
    <row r="7" spans="1:5">
      <c r="A7" s="16" t="s">
        <v>5</v>
      </c>
      <c r="B7" s="16" t="s">
        <v>11</v>
      </c>
      <c r="E7" s="16">
        <f>_xlfn.XLOOKUP(B7,'Reports - New Category'!$B$4:$B$61,'Reports - New Category'!$A$4:$A$61,"No")</f>
        <v>22</v>
      </c>
    </row>
    <row r="8" spans="1:5">
      <c r="A8" s="16" t="s">
        <v>5</v>
      </c>
      <c r="B8" s="16" t="s">
        <v>12</v>
      </c>
      <c r="E8" s="16">
        <f>_xlfn.XLOOKUP(B8,'Reports - New Category'!$B$4:$B$61,'Reports - New Category'!$A$4:$A$61,"No")</f>
        <v>24</v>
      </c>
    </row>
    <row r="9" spans="1:5">
      <c r="A9" s="16" t="s">
        <v>5</v>
      </c>
      <c r="B9" s="16" t="s">
        <v>13</v>
      </c>
      <c r="E9" s="16">
        <f>_xlfn.XLOOKUP(B9,'Reports - New Category'!$B$4:$B$61,'Reports - New Category'!$A$4:$A$61,"No")</f>
        <v>16</v>
      </c>
    </row>
    <row r="10" spans="1:5">
      <c r="A10" s="16" t="s">
        <v>5</v>
      </c>
      <c r="B10" s="16" t="s">
        <v>14</v>
      </c>
      <c r="E10" s="16" t="str">
        <f>_xlfn.XLOOKUP(B10,'Reports - New Category'!$B$4:$B$61,'Reports - New Category'!$A$4:$A$61,"No")</f>
        <v>No</v>
      </c>
    </row>
    <row r="11" spans="1:5">
      <c r="A11" s="16" t="s">
        <v>5</v>
      </c>
      <c r="B11" s="16" t="s">
        <v>15</v>
      </c>
      <c r="E11" s="16">
        <f>_xlfn.XLOOKUP(B11,'Reports - New Category'!$B$4:$B$61,'Reports - New Category'!$A$4:$A$61,"No")</f>
        <v>31</v>
      </c>
    </row>
    <row r="12" spans="1:5">
      <c r="A12" s="16" t="s">
        <v>16</v>
      </c>
      <c r="B12" s="16" t="s">
        <v>17</v>
      </c>
      <c r="E12" s="16">
        <f>_xlfn.XLOOKUP(B12,'Reports - New Category'!$B$4:$B$61,'Reports - New Category'!$A$4:$A$61,"No")</f>
        <v>29</v>
      </c>
    </row>
    <row r="13" spans="1:5">
      <c r="A13" s="16" t="s">
        <v>16</v>
      </c>
      <c r="B13" s="16" t="s">
        <v>18</v>
      </c>
      <c r="E13" s="16">
        <f>_xlfn.XLOOKUP(B13,'Reports - New Category'!$B$4:$B$61,'Reports - New Category'!$A$4:$A$61,"No")</f>
        <v>6</v>
      </c>
    </row>
    <row r="14" spans="1:5">
      <c r="A14" s="16" t="s">
        <v>16</v>
      </c>
      <c r="B14" s="16" t="s">
        <v>19</v>
      </c>
      <c r="E14" s="16" t="str">
        <f>_xlfn.XLOOKUP(B14,'Reports - New Category'!$B$4:$B$61,'Reports - New Category'!$A$4:$A$61,"No")</f>
        <v>No</v>
      </c>
    </row>
    <row r="15" spans="1:5">
      <c r="A15" s="16" t="s">
        <v>16</v>
      </c>
      <c r="B15" s="16" t="s">
        <v>20</v>
      </c>
      <c r="E15" s="16" t="str">
        <f>_xlfn.XLOOKUP(B15,'Reports - New Category'!$B$4:$B$61,'Reports - New Category'!$A$4:$A$61,"No")</f>
        <v>No</v>
      </c>
    </row>
    <row r="16" spans="1:5">
      <c r="A16" s="16" t="s">
        <v>16</v>
      </c>
      <c r="B16" s="16" t="s">
        <v>21</v>
      </c>
      <c r="C16" s="16" t="s">
        <v>22</v>
      </c>
      <c r="E16" s="16" t="str">
        <f>_xlfn.XLOOKUP(B16,'Reports - New Category'!$B$4:$B$61,'Reports - New Category'!$A$4:$A$61,"No")</f>
        <v>No</v>
      </c>
    </row>
    <row r="17" spans="1:5">
      <c r="A17" s="16" t="s">
        <v>16</v>
      </c>
      <c r="B17" s="16" t="s">
        <v>23</v>
      </c>
      <c r="C17" s="16" t="s">
        <v>22</v>
      </c>
      <c r="E17" s="16" t="str">
        <f>_xlfn.XLOOKUP(B17,'Reports - New Category'!$B$4:$B$61,'Reports - New Category'!$A$4:$A$61,"No")</f>
        <v>No</v>
      </c>
    </row>
    <row r="18" spans="1:5">
      <c r="A18" s="16" t="s">
        <v>16</v>
      </c>
      <c r="B18" s="16" t="s">
        <v>24</v>
      </c>
      <c r="C18" s="16" t="s">
        <v>22</v>
      </c>
      <c r="E18" s="16" t="str">
        <f>_xlfn.XLOOKUP(B18,'Reports - New Category'!$B$4:$B$61,'Reports - New Category'!$A$4:$A$61,"No")</f>
        <v>No</v>
      </c>
    </row>
    <row r="19" spans="1:5">
      <c r="A19" s="16" t="s">
        <v>16</v>
      </c>
      <c r="B19" s="16" t="s">
        <v>25</v>
      </c>
      <c r="E19" s="16" t="str">
        <f>_xlfn.XLOOKUP(B19,'Reports - New Category'!$B$4:$B$61,'Reports - New Category'!$A$4:$A$61,"No")</f>
        <v>No</v>
      </c>
    </row>
    <row r="20" spans="1:5">
      <c r="A20" s="16" t="s">
        <v>26</v>
      </c>
      <c r="B20" s="16" t="s">
        <v>27</v>
      </c>
      <c r="E20" s="16">
        <f>_xlfn.XLOOKUP(B20,'Reports - New Category'!$B$4:$B$61,'Reports - New Category'!$A$4:$A$61,"No")</f>
        <v>37</v>
      </c>
    </row>
    <row r="21" spans="1:5">
      <c r="A21" s="16" t="s">
        <v>26</v>
      </c>
      <c r="B21" s="16" t="s">
        <v>28</v>
      </c>
      <c r="E21" s="16" t="str">
        <f>_xlfn.XLOOKUP(B21,'Reports - New Category'!$B$4:$B$61,'Reports - New Category'!$A$4:$A$61,"No")</f>
        <v>No</v>
      </c>
    </row>
    <row r="22" spans="1:5">
      <c r="A22" s="16" t="s">
        <v>26</v>
      </c>
      <c r="B22" s="16" t="s">
        <v>29</v>
      </c>
      <c r="E22" s="16" t="str">
        <f>_xlfn.XLOOKUP(B22,'Reports - New Category'!$B$4:$B$61,'Reports - New Category'!$A$4:$A$61,"No")</f>
        <v>No</v>
      </c>
    </row>
    <row r="23" spans="1:5">
      <c r="A23" s="16" t="s">
        <v>26</v>
      </c>
      <c r="B23" s="16" t="s">
        <v>30</v>
      </c>
      <c r="E23" s="16" t="str">
        <f>_xlfn.XLOOKUP(B23,'Reports - New Category'!$B$4:$B$61,'Reports - New Category'!$A$4:$A$61,"No")</f>
        <v>No</v>
      </c>
    </row>
    <row r="24" spans="1:5">
      <c r="A24" s="16" t="s">
        <v>26</v>
      </c>
      <c r="B24" s="16" t="s">
        <v>31</v>
      </c>
      <c r="E24" s="16" t="str">
        <f>_xlfn.XLOOKUP(B24,'Reports - New Category'!$B$4:$B$61,'Reports - New Category'!$A$4:$A$61,"No")</f>
        <v>No</v>
      </c>
    </row>
    <row r="25" spans="1:5">
      <c r="A25" s="16" t="s">
        <v>26</v>
      </c>
      <c r="B25" s="16" t="s">
        <v>32</v>
      </c>
      <c r="E25" s="16" t="str">
        <f>_xlfn.XLOOKUP(B25,'Reports - New Category'!$B$4:$B$61,'Reports - New Category'!$A$4:$A$61,"No")</f>
        <v>No</v>
      </c>
    </row>
    <row r="26" spans="1:5">
      <c r="A26" s="16" t="s">
        <v>26</v>
      </c>
      <c r="B26" s="16" t="s">
        <v>33</v>
      </c>
      <c r="E26" s="16">
        <f>_xlfn.XLOOKUP(B26,'Reports - New Category'!$B$4:$B$61,'Reports - New Category'!$A$4:$A$61,"No")</f>
        <v>14</v>
      </c>
    </row>
    <row r="27" spans="1:5">
      <c r="A27" s="16" t="s">
        <v>26</v>
      </c>
      <c r="B27" s="16" t="s">
        <v>34</v>
      </c>
      <c r="E27" s="16">
        <f>_xlfn.XLOOKUP(B27,'Reports - New Category'!$B$4:$B$61,'Reports - New Category'!$A$4:$A$61,"No")</f>
        <v>7</v>
      </c>
    </row>
    <row r="28" spans="1:5">
      <c r="A28" s="16" t="s">
        <v>35</v>
      </c>
      <c r="B28" s="16" t="s">
        <v>36</v>
      </c>
      <c r="C28" s="16" t="s">
        <v>22</v>
      </c>
      <c r="E28" s="16" t="str">
        <f>_xlfn.XLOOKUP(B28,'Reports - New Category'!$B$4:$B$61,'Reports - New Category'!$A$4:$A$61,"No")</f>
        <v>No</v>
      </c>
    </row>
    <row r="29" spans="1:5">
      <c r="A29" s="16" t="s">
        <v>35</v>
      </c>
      <c r="B29" s="16" t="s">
        <v>37</v>
      </c>
      <c r="E29" s="16">
        <f>_xlfn.XLOOKUP(B29,'Reports - New Category'!$B$4:$B$61,'Reports - New Category'!$A$4:$A$61,"No")</f>
        <v>18</v>
      </c>
    </row>
    <row r="30" spans="1:5">
      <c r="A30" s="16" t="s">
        <v>35</v>
      </c>
      <c r="B30" s="16" t="s">
        <v>38</v>
      </c>
      <c r="E30" s="16" t="str">
        <f>_xlfn.XLOOKUP(B30,'Reports - New Category'!$B$4:$B$61,'Reports - New Category'!$A$4:$A$61,"No")</f>
        <v>No</v>
      </c>
    </row>
    <row r="31" spans="1:5">
      <c r="A31" s="16" t="s">
        <v>35</v>
      </c>
      <c r="B31" s="16" t="s">
        <v>39</v>
      </c>
      <c r="E31" s="16">
        <f>_xlfn.XLOOKUP(B31,'Reports - New Category'!$B$4:$B$61,'Reports - New Category'!$A$4:$A$61,"No")</f>
        <v>17</v>
      </c>
    </row>
    <row r="32" spans="1:5">
      <c r="A32" s="16" t="s">
        <v>35</v>
      </c>
      <c r="B32" s="16" t="s">
        <v>40</v>
      </c>
      <c r="E32" s="16">
        <f>_xlfn.XLOOKUP(B32,'Reports - New Category'!$B$4:$B$61,'Reports - New Category'!$A$4:$A$61,"No")</f>
        <v>35</v>
      </c>
    </row>
    <row r="33" spans="1:5">
      <c r="A33" s="16" t="s">
        <v>35</v>
      </c>
      <c r="B33" s="16" t="s">
        <v>41</v>
      </c>
      <c r="E33" s="16">
        <f>_xlfn.XLOOKUP(B33,'Reports - New Category'!$B$4:$B$61,'Reports - New Category'!$A$4:$A$61,"No")</f>
        <v>13</v>
      </c>
    </row>
    <row r="34" spans="1:5">
      <c r="A34" s="16" t="s">
        <v>35</v>
      </c>
      <c r="B34" s="16" t="s">
        <v>42</v>
      </c>
      <c r="C34" s="16" t="s">
        <v>22</v>
      </c>
      <c r="E34" s="16">
        <f>_xlfn.XLOOKUP(B34,'Reports - New Category'!$B$4:$B$61,'Reports - New Category'!$A$4:$A$61,"No")</f>
        <v>30</v>
      </c>
    </row>
    <row r="35" spans="1:5">
      <c r="A35" s="16" t="s">
        <v>35</v>
      </c>
      <c r="B35" s="16" t="s">
        <v>43</v>
      </c>
      <c r="C35" s="16" t="s">
        <v>22</v>
      </c>
      <c r="E35" s="16" t="str">
        <f>_xlfn.XLOOKUP(B35,'Reports - New Category'!$B$4:$B$61,'Reports - New Category'!$A$4:$A$61,"No")</f>
        <v>No</v>
      </c>
    </row>
    <row r="36" spans="1:5">
      <c r="A36" s="16" t="s">
        <v>35</v>
      </c>
      <c r="B36" s="16" t="s">
        <v>44</v>
      </c>
      <c r="E36" s="16" t="str">
        <f>_xlfn.XLOOKUP(B36,'Reports - New Category'!$B$4:$B$61,'Reports - New Category'!$A$4:$A$61,"No")</f>
        <v>No</v>
      </c>
    </row>
    <row r="37" spans="1:5">
      <c r="A37" s="16" t="s">
        <v>45</v>
      </c>
      <c r="B37" s="16" t="s">
        <v>46</v>
      </c>
      <c r="E37" s="16">
        <f>_xlfn.XLOOKUP(B37,'Reports - New Category'!$B$4:$B$61,'Reports - New Category'!$A$4:$A$61,"No")</f>
        <v>41</v>
      </c>
    </row>
    <row r="38" spans="1:5">
      <c r="A38" s="16" t="s">
        <v>45</v>
      </c>
      <c r="B38" s="16" t="s">
        <v>47</v>
      </c>
      <c r="E38" s="16" t="str">
        <f>_xlfn.XLOOKUP(B38,'Reports - New Category'!$B$4:$B$61,'Reports - New Category'!$A$4:$A$61,"No")</f>
        <v>No</v>
      </c>
    </row>
    <row r="39" spans="1:5">
      <c r="A39" s="16" t="s">
        <v>45</v>
      </c>
      <c r="B39" s="16" t="s">
        <v>48</v>
      </c>
      <c r="E39" s="16" t="str">
        <f>_xlfn.XLOOKUP(B39,'Reports - New Category'!$B$4:$B$61,'Reports - New Category'!$A$4:$A$61,"No")</f>
        <v>No</v>
      </c>
    </row>
    <row r="40" spans="1:5">
      <c r="A40" s="16" t="s">
        <v>45</v>
      </c>
      <c r="B40" s="16" t="s">
        <v>49</v>
      </c>
      <c r="E40" s="16">
        <f>_xlfn.XLOOKUP(B40,'Reports - New Category'!$B$4:$B$61,'Reports - New Category'!$A$4:$A$61,"No")</f>
        <v>42</v>
      </c>
    </row>
    <row r="41" spans="1:5">
      <c r="A41" s="16" t="s">
        <v>50</v>
      </c>
      <c r="B41" s="16" t="s">
        <v>51</v>
      </c>
      <c r="D41" s="16" t="s">
        <v>22</v>
      </c>
      <c r="E41" s="16" t="str">
        <f>_xlfn.XLOOKUP(B41,'Reports - New Category'!$B$4:$B$61,'Reports - New Category'!$A$4:$A$61,"No")</f>
        <v>No</v>
      </c>
    </row>
    <row r="42" spans="1:5">
      <c r="A42" s="16" t="s">
        <v>50</v>
      </c>
      <c r="B42" s="16" t="s">
        <v>52</v>
      </c>
      <c r="E42" s="16">
        <f>_xlfn.XLOOKUP(B42,'Reports - New Category'!$B$4:$B$61,'Reports - New Category'!$A$4:$A$61,"No")</f>
        <v>10</v>
      </c>
    </row>
    <row r="43" spans="1:5">
      <c r="A43" s="16" t="s">
        <v>50</v>
      </c>
      <c r="B43" s="16" t="s">
        <v>53</v>
      </c>
      <c r="D43" s="16" t="s">
        <v>22</v>
      </c>
      <c r="E43" s="16" t="str">
        <f>_xlfn.XLOOKUP(B43,'Reports - New Category'!$B$4:$B$61,'Reports - New Category'!$A$4:$A$61,"No")</f>
        <v>No</v>
      </c>
    </row>
    <row r="44" spans="1:5">
      <c r="A44" s="16" t="s">
        <v>50</v>
      </c>
      <c r="B44" s="16" t="s">
        <v>54</v>
      </c>
      <c r="E44" s="16">
        <f>_xlfn.XLOOKUP(B44,'Reports - New Category'!$B$4:$B$61,'Reports - New Category'!$A$4:$A$61,"No")</f>
        <v>44</v>
      </c>
    </row>
    <row r="45" spans="1:5">
      <c r="A45" s="16" t="s">
        <v>50</v>
      </c>
      <c r="B45" s="16" t="s">
        <v>55</v>
      </c>
      <c r="C45" s="16" t="s">
        <v>22</v>
      </c>
      <c r="E45" s="16" t="str">
        <f>_xlfn.XLOOKUP(B45,'Reports - New Category'!$B$4:$B$61,'Reports - New Category'!$A$4:$A$61,"No")</f>
        <v>No</v>
      </c>
    </row>
    <row r="46" spans="1:5">
      <c r="A46" s="16" t="s">
        <v>50</v>
      </c>
      <c r="B46" s="16" t="s">
        <v>56</v>
      </c>
      <c r="C46" s="16" t="s">
        <v>22</v>
      </c>
      <c r="E46" s="16" t="str">
        <f>_xlfn.XLOOKUP(B46,'Reports - New Category'!$B$4:$B$61,'Reports - New Category'!$A$4:$A$61,"No")</f>
        <v>No</v>
      </c>
    </row>
    <row r="47" spans="1:5">
      <c r="A47" s="16" t="s">
        <v>50</v>
      </c>
      <c r="B47" s="16" t="s">
        <v>57</v>
      </c>
      <c r="E47" s="16">
        <f>_xlfn.XLOOKUP(B47,'Reports - New Category'!$B$4:$B$61,'Reports - New Category'!$A$4:$A$61,"No")</f>
        <v>45</v>
      </c>
    </row>
    <row r="48" spans="1:5">
      <c r="A48" s="16" t="s">
        <v>50</v>
      </c>
      <c r="B48" s="16" t="s">
        <v>58</v>
      </c>
      <c r="D48" s="16" t="s">
        <v>22</v>
      </c>
      <c r="E48" s="16" t="str">
        <f>_xlfn.XLOOKUP(B48,'Reports - New Category'!$B$4:$B$61,'Reports - New Category'!$A$4:$A$61,"No")</f>
        <v>No</v>
      </c>
    </row>
    <row r="49" spans="1:5">
      <c r="A49" s="16" t="s">
        <v>59</v>
      </c>
      <c r="B49" s="16" t="s">
        <v>60</v>
      </c>
      <c r="E49" s="16">
        <f>_xlfn.XLOOKUP(B49,'Reports - New Category'!$B$4:$B$61,'Reports - New Category'!$A$4:$A$61,"No")</f>
        <v>28</v>
      </c>
    </row>
    <row r="50" spans="1:5">
      <c r="A50" s="16" t="s">
        <v>59</v>
      </c>
      <c r="B50" s="16" t="s">
        <v>61</v>
      </c>
      <c r="E50" s="16">
        <f>_xlfn.XLOOKUP(B50,'Reports - New Category'!$B$4:$B$61,'Reports - New Category'!$A$4:$A$61,"No")</f>
        <v>9</v>
      </c>
    </row>
    <row r="51" spans="1:5">
      <c r="A51" s="16" t="s">
        <v>59</v>
      </c>
      <c r="B51" s="16" t="s">
        <v>62</v>
      </c>
      <c r="D51" s="16" t="s">
        <v>22</v>
      </c>
      <c r="E51" s="16" t="str">
        <f>_xlfn.XLOOKUP(B51,'Reports - New Category'!$B$4:$B$61,'Reports - New Category'!$A$4:$A$61,"No")</f>
        <v>No</v>
      </c>
    </row>
    <row r="52" spans="1:5">
      <c r="A52" s="16" t="s">
        <v>59</v>
      </c>
      <c r="B52" s="16" t="s">
        <v>63</v>
      </c>
      <c r="E52" s="16">
        <f>_xlfn.XLOOKUP(B52,'Reports - New Category'!$B$4:$B$61,'Reports - New Category'!$A$4:$A$61,"No")</f>
        <v>52</v>
      </c>
    </row>
    <row r="53" spans="1:5">
      <c r="A53" s="16" t="s">
        <v>59</v>
      </c>
      <c r="B53" s="16" t="s">
        <v>64</v>
      </c>
      <c r="E53" s="16" t="str">
        <f>_xlfn.XLOOKUP(B53,'Reports - New Category'!$B$4:$B$61,'Reports - New Category'!$A$4:$A$61,"No")</f>
        <v>No</v>
      </c>
    </row>
    <row r="54" spans="1:5">
      <c r="A54" s="16" t="s">
        <v>59</v>
      </c>
      <c r="B54" s="16" t="s">
        <v>65</v>
      </c>
      <c r="C54" s="16" t="s">
        <v>22</v>
      </c>
      <c r="E54" s="16" t="str">
        <f>_xlfn.XLOOKUP(B54,'Reports - New Category'!$B$4:$B$61,'Reports - New Category'!$A$4:$A$61,"No")</f>
        <v>No</v>
      </c>
    </row>
    <row r="55" spans="1:5">
      <c r="A55" s="16" t="s">
        <v>66</v>
      </c>
      <c r="B55" s="16" t="s">
        <v>67</v>
      </c>
      <c r="E55" s="16">
        <f>_xlfn.XLOOKUP(B55,'Reports - New Category'!$B$4:$B$61,'Reports - New Category'!$A$4:$A$61,"No")</f>
        <v>19</v>
      </c>
    </row>
    <row r="56" spans="1:5">
      <c r="A56" s="16" t="s">
        <v>66</v>
      </c>
      <c r="B56" s="16" t="s">
        <v>68</v>
      </c>
      <c r="E56" s="16" t="str">
        <f>_xlfn.XLOOKUP(B56,'Reports - New Category'!$B$4:$B$61,'Reports - New Category'!$A$4:$A$61,"No")</f>
        <v>No</v>
      </c>
    </row>
    <row r="57" spans="1:5">
      <c r="A57" s="16" t="s">
        <v>66</v>
      </c>
      <c r="B57" s="16" t="s">
        <v>69</v>
      </c>
      <c r="E57" s="16" t="str">
        <f>_xlfn.XLOOKUP(B57,'Reports - New Category'!$B$4:$B$61,'Reports - New Category'!$A$4:$A$61,"No")</f>
        <v>No</v>
      </c>
    </row>
    <row r="58" spans="1:5">
      <c r="A58" s="16" t="s">
        <v>66</v>
      </c>
      <c r="B58" s="16" t="s">
        <v>70</v>
      </c>
      <c r="C58" s="16" t="s">
        <v>22</v>
      </c>
      <c r="E58" s="16" t="str">
        <f>_xlfn.XLOOKUP(B58,'Reports - New Category'!$B$4:$B$61,'Reports - New Category'!$A$4:$A$61,"No")</f>
        <v>No</v>
      </c>
    </row>
    <row r="59" spans="1:5">
      <c r="A59" s="16" t="s">
        <v>71</v>
      </c>
      <c r="B59" s="16" t="s">
        <v>72</v>
      </c>
      <c r="E59" s="16" t="str">
        <f>_xlfn.XLOOKUP(B59,'Reports - New Category'!$B$4:$B$61,'Reports - New Category'!$A$4:$A$61,"No")</f>
        <v>No</v>
      </c>
    </row>
    <row r="60" spans="1:5">
      <c r="A60" s="16" t="s">
        <v>71</v>
      </c>
      <c r="B60" s="16" t="s">
        <v>73</v>
      </c>
      <c r="E60" s="16">
        <f>_xlfn.XLOOKUP(B60,'Reports - New Category'!$B$4:$B$61,'Reports - New Category'!$A$4:$A$61,"No")</f>
        <v>8</v>
      </c>
    </row>
    <row r="61" spans="1:5">
      <c r="A61" s="16" t="s">
        <v>71</v>
      </c>
      <c r="B61" s="16" t="s">
        <v>74</v>
      </c>
      <c r="E61" s="16" t="str">
        <f>_xlfn.XLOOKUP(B61,'Reports - New Category'!$B$4:$B$61,'Reports - New Category'!$A$4:$A$61,"No")</f>
        <v>No</v>
      </c>
    </row>
    <row r="62" spans="1:5">
      <c r="A62" s="16" t="s">
        <v>71</v>
      </c>
      <c r="B62" s="16" t="s">
        <v>75</v>
      </c>
      <c r="C62" s="16" t="s">
        <v>22</v>
      </c>
      <c r="E62" s="16" t="str">
        <f>_xlfn.XLOOKUP(B62,'Reports - New Category'!$B$4:$B$61,'Reports - New Category'!$A$4:$A$61,"No")</f>
        <v>No</v>
      </c>
    </row>
    <row r="63" spans="1:5">
      <c r="A63" s="16" t="s">
        <v>71</v>
      </c>
      <c r="B63" s="16" t="s">
        <v>76</v>
      </c>
      <c r="C63" s="16" t="s">
        <v>22</v>
      </c>
      <c r="E63" s="16" t="str">
        <f>_xlfn.XLOOKUP(B63,'Reports - New Category'!$B$4:$B$61,'Reports - New Category'!$A$4:$A$61,"No")</f>
        <v>No</v>
      </c>
    </row>
    <row r="64" spans="1:5">
      <c r="A64" s="16" t="s">
        <v>71</v>
      </c>
      <c r="B64" s="16" t="s">
        <v>77</v>
      </c>
      <c r="C64" s="16" t="s">
        <v>22</v>
      </c>
      <c r="E64" s="16" t="str">
        <f>_xlfn.XLOOKUP(B64,'Reports - New Category'!$B$4:$B$61,'Reports - New Category'!$A$4:$A$61,"No")</f>
        <v>No</v>
      </c>
    </row>
    <row r="65" spans="1:5">
      <c r="A65" s="16" t="s">
        <v>78</v>
      </c>
      <c r="B65" s="16" t="s">
        <v>79</v>
      </c>
      <c r="E65" s="16" t="str">
        <f>_xlfn.XLOOKUP(B65,'Reports - New Category'!$B$4:$B$61,'Reports - New Category'!$A$4:$A$61,"No")</f>
        <v>No</v>
      </c>
    </row>
    <row r="66" spans="1:5">
      <c r="A66" s="16" t="s">
        <v>78</v>
      </c>
      <c r="B66" s="16" t="s">
        <v>80</v>
      </c>
      <c r="E66" s="16" t="str">
        <f>_xlfn.XLOOKUP(B66,'Reports - New Category'!$B$4:$B$61,'Reports - New Category'!$A$4:$A$61,"No")</f>
        <v>No</v>
      </c>
    </row>
    <row r="67" spans="1:5">
      <c r="A67" s="16" t="s">
        <v>78</v>
      </c>
      <c r="B67" s="16" t="s">
        <v>81</v>
      </c>
      <c r="E67" s="16" t="str">
        <f>_xlfn.XLOOKUP(B67,'Reports - New Category'!$B$4:$B$61,'Reports - New Category'!$A$4:$A$61,"No")</f>
        <v>No</v>
      </c>
    </row>
    <row r="68" spans="1:5">
      <c r="A68" s="16" t="s">
        <v>78</v>
      </c>
      <c r="B68" s="16" t="s">
        <v>82</v>
      </c>
      <c r="D68" s="16" t="s">
        <v>22</v>
      </c>
      <c r="E68" s="16" t="str">
        <f>_xlfn.XLOOKUP(B68,'Reports - New Category'!$B$4:$B$61,'Reports - New Category'!$A$4:$A$61,"No")</f>
        <v>No</v>
      </c>
    </row>
    <row r="69" spans="1:5">
      <c r="A69" s="16" t="s">
        <v>78</v>
      </c>
      <c r="B69" s="16" t="s">
        <v>83</v>
      </c>
      <c r="E69" s="16">
        <f>_xlfn.XLOOKUP(B69,'Reports - New Category'!$B$4:$B$61,'Reports - New Category'!$A$4:$A$61,"No")</f>
        <v>1</v>
      </c>
    </row>
    <row r="70" spans="1:5">
      <c r="A70" s="16" t="s">
        <v>78</v>
      </c>
      <c r="B70" s="16" t="s">
        <v>84</v>
      </c>
      <c r="E70" s="16">
        <f>_xlfn.XLOOKUP(B70,'Reports - New Category'!$B$4:$B$61,'Reports - New Category'!$A$4:$A$61,"No")</f>
        <v>4</v>
      </c>
    </row>
    <row r="71" spans="1:5">
      <c r="A71" s="16" t="s">
        <v>78</v>
      </c>
      <c r="B71" s="16" t="s">
        <v>85</v>
      </c>
      <c r="E71" s="16" t="str">
        <f>_xlfn.XLOOKUP(B71,'Reports - New Category'!$B$4:$B$61,'Reports - New Category'!$A$4:$A$61,"No")</f>
        <v>No</v>
      </c>
    </row>
    <row r="72" spans="1:5">
      <c r="A72" s="16" t="s">
        <v>78</v>
      </c>
      <c r="B72" s="16" t="s">
        <v>86</v>
      </c>
      <c r="C72" s="16" t="s">
        <v>22</v>
      </c>
      <c r="E72" s="16" t="str">
        <f>_xlfn.XLOOKUP(B72,'Reports - New Category'!$B$4:$B$61,'Reports - New Category'!$A$4:$A$61,"No")</f>
        <v>No</v>
      </c>
    </row>
    <row r="73" spans="1:5">
      <c r="A73" s="16" t="s">
        <v>78</v>
      </c>
      <c r="B73" s="16" t="s">
        <v>87</v>
      </c>
      <c r="E73" s="16">
        <f>_xlfn.XLOOKUP(B73,'Reports - New Category'!$B$4:$B$61,'Reports - New Category'!$A$4:$A$61,"No")</f>
        <v>43</v>
      </c>
    </row>
  </sheetData>
  <autoFilter ref="A1:E73" xr:uid="{EBAA8A13-AB56-4717-8599-1461CAF87024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C17" sqref="C17"/>
    </sheetView>
  </sheetViews>
  <sheetFormatPr defaultRowHeight="14.25"/>
  <cols>
    <col min="1" max="1" width="18" customWidth="1"/>
    <col min="2" max="6" width="20" customWidth="1"/>
  </cols>
  <sheetData>
    <row r="1" spans="1:6" ht="22.7" customHeight="1">
      <c r="A1" s="28" t="s">
        <v>88</v>
      </c>
      <c r="B1" s="28"/>
      <c r="C1" s="28"/>
      <c r="D1" s="28"/>
      <c r="E1" s="28"/>
      <c r="F1" s="28"/>
    </row>
    <row r="2" spans="1:6" ht="14.65" customHeight="1">
      <c r="A2" s="29" t="s">
        <v>89</v>
      </c>
      <c r="B2" s="29"/>
      <c r="C2" s="29"/>
      <c r="D2" s="29"/>
      <c r="E2" s="29"/>
      <c r="F2" s="29"/>
    </row>
    <row r="3" spans="1:6">
      <c r="A3" s="2"/>
      <c r="B3" s="2"/>
      <c r="C3" s="2"/>
      <c r="D3" s="2"/>
      <c r="E3" s="2"/>
      <c r="F3" s="2"/>
    </row>
    <row r="4" spans="1:6">
      <c r="A4" s="30" t="s">
        <v>90</v>
      </c>
      <c r="B4" s="30"/>
      <c r="C4" s="30" t="s">
        <v>91</v>
      </c>
      <c r="D4" s="30"/>
      <c r="E4" s="30" t="s">
        <v>92</v>
      </c>
      <c r="F4" s="30"/>
    </row>
    <row r="5" spans="1:6">
      <c r="A5" s="31" t="e">
        <f>'Reports - New Category'!#REF!</f>
        <v>#REF!</v>
      </c>
      <c r="B5" s="31"/>
      <c r="C5" s="32">
        <v>10</v>
      </c>
      <c r="D5" s="32"/>
      <c r="E5" s="33" t="e">
        <f>'Reports - New Category'!#REF!</f>
        <v>#REF!</v>
      </c>
      <c r="F5" s="33"/>
    </row>
    <row r="6" spans="1:6">
      <c r="A6" s="31"/>
      <c r="B6" s="31"/>
      <c r="C6" s="32"/>
      <c r="D6" s="32"/>
      <c r="E6" s="33"/>
      <c r="F6" s="33"/>
    </row>
    <row r="7" spans="1:6">
      <c r="A7" s="2"/>
      <c r="B7" s="2"/>
      <c r="C7" s="2"/>
      <c r="D7" s="2"/>
      <c r="E7" s="2"/>
      <c r="F7" s="2"/>
    </row>
    <row r="8" spans="1:6" ht="15.95" customHeight="1">
      <c r="A8" s="34" t="s">
        <v>93</v>
      </c>
      <c r="B8" s="34"/>
      <c r="C8" s="34"/>
      <c r="D8" s="34"/>
      <c r="E8" s="34"/>
      <c r="F8" s="34"/>
    </row>
    <row r="9" spans="1:6" ht="22.7" customHeight="1">
      <c r="A9" s="3" t="s">
        <v>94</v>
      </c>
      <c r="B9" s="35" t="s">
        <v>95</v>
      </c>
      <c r="C9" s="35"/>
      <c r="D9" s="35"/>
      <c r="E9" s="35"/>
      <c r="F9" s="35"/>
    </row>
    <row r="10" spans="1:6" ht="22.7" customHeight="1">
      <c r="A10" s="3" t="s">
        <v>96</v>
      </c>
      <c r="B10" s="35" t="s">
        <v>97</v>
      </c>
      <c r="C10" s="35"/>
      <c r="D10" s="35"/>
      <c r="E10" s="35"/>
      <c r="F10" s="35"/>
    </row>
    <row r="11" spans="1:6" ht="22.7" customHeight="1">
      <c r="A11" s="3" t="s">
        <v>98</v>
      </c>
      <c r="B11" s="35" t="s">
        <v>99</v>
      </c>
      <c r="C11" s="35"/>
      <c r="D11" s="35"/>
      <c r="E11" s="35"/>
      <c r="F11" s="35"/>
    </row>
    <row r="12" spans="1:6" ht="22.7" customHeight="1">
      <c r="A12" s="3" t="s">
        <v>100</v>
      </c>
      <c r="B12" s="35" t="s">
        <v>101</v>
      </c>
      <c r="C12" s="35"/>
      <c r="D12" s="35"/>
      <c r="E12" s="35"/>
      <c r="F12" s="35"/>
    </row>
    <row r="13" spans="1:6">
      <c r="A13" s="2"/>
      <c r="B13" s="2"/>
      <c r="C13" s="2"/>
      <c r="D13" s="2"/>
      <c r="E13" s="2"/>
      <c r="F13" s="2"/>
    </row>
    <row r="14" spans="1:6" ht="15">
      <c r="A14" s="4" t="s">
        <v>102</v>
      </c>
      <c r="B14" s="4" t="s">
        <v>103</v>
      </c>
      <c r="C14" s="2"/>
      <c r="D14" s="2"/>
      <c r="E14" s="2"/>
      <c r="F14" s="2"/>
    </row>
    <row r="15" spans="1:6" ht="28.5">
      <c r="A15" s="5" t="s">
        <v>104</v>
      </c>
      <c r="B15" s="5" t="e">
        <f>'Reports - New Category'!#REF!</f>
        <v>#REF!</v>
      </c>
      <c r="C15" s="2"/>
      <c r="D15" s="2"/>
      <c r="E15" s="2"/>
      <c r="F15" s="2"/>
    </row>
    <row r="16" spans="1:6">
      <c r="A16" s="5" t="s">
        <v>105</v>
      </c>
      <c r="B16" s="5">
        <v>10</v>
      </c>
      <c r="C16" s="2"/>
      <c r="D16" s="2"/>
      <c r="E16" s="2"/>
      <c r="F16" s="2"/>
    </row>
    <row r="17" spans="1:6" ht="28.5">
      <c r="A17" s="5" t="s">
        <v>106</v>
      </c>
      <c r="B17" s="5" t="e">
        <f>'Reports - New Category'!#REF!</f>
        <v>#REF!</v>
      </c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</sheetData>
  <mergeCells count="13">
    <mergeCell ref="A8:F8"/>
    <mergeCell ref="B9:F9"/>
    <mergeCell ref="B10:F10"/>
    <mergeCell ref="B11:F11"/>
    <mergeCell ref="B12:F12"/>
    <mergeCell ref="A1:F1"/>
    <mergeCell ref="A2:F2"/>
    <mergeCell ref="A4:B4"/>
    <mergeCell ref="A5:B6"/>
    <mergeCell ref="C4:D4"/>
    <mergeCell ref="C5:D6"/>
    <mergeCell ref="E4:F4"/>
    <mergeCell ref="E5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</sheetPr>
  <dimension ref="A1:H61"/>
  <sheetViews>
    <sheetView workbookViewId="0">
      <selection activeCell="B45" sqref="B45"/>
    </sheetView>
  </sheetViews>
  <sheetFormatPr defaultRowHeight="14.25"/>
  <cols>
    <col min="1" max="1" width="9" customWidth="1"/>
    <col min="2" max="2" width="42" customWidth="1"/>
    <col min="3" max="4" width="18" hidden="1" customWidth="1"/>
    <col min="5" max="5" width="36.125" customWidth="1"/>
    <col min="6" max="6" width="18.875" customWidth="1"/>
    <col min="7" max="7" width="20.25" customWidth="1"/>
    <col min="8" max="8" width="22.875" customWidth="1"/>
  </cols>
  <sheetData>
    <row r="1" spans="1:8" ht="23.25">
      <c r="A1" s="27" t="s">
        <v>107</v>
      </c>
      <c r="B1" s="27"/>
      <c r="C1" s="27"/>
      <c r="D1" s="27"/>
      <c r="E1" s="27"/>
      <c r="F1" s="27"/>
      <c r="G1" s="27"/>
    </row>
    <row r="3" spans="1:8" ht="17.45" customHeight="1">
      <c r="A3" s="7" t="s">
        <v>108</v>
      </c>
      <c r="B3" s="7" t="s">
        <v>109</v>
      </c>
      <c r="C3" s="7" t="s">
        <v>110</v>
      </c>
      <c r="D3" s="7" t="s">
        <v>111</v>
      </c>
      <c r="E3" s="7" t="s">
        <v>112</v>
      </c>
      <c r="F3" s="7" t="s">
        <v>2</v>
      </c>
      <c r="G3" s="7" t="s">
        <v>3</v>
      </c>
      <c r="H3" s="7" t="s">
        <v>113</v>
      </c>
    </row>
    <row r="4" spans="1:8" ht="14.65" customHeight="1">
      <c r="A4" s="8">
        <v>1</v>
      </c>
      <c r="B4" s="9" t="s">
        <v>83</v>
      </c>
      <c r="C4" s="9" t="str">
        <f t="shared" ref="C4:C35" si="0">IF(COUNTIF($B$4:$B$61,B4)&gt;1,"Duplicate","")</f>
        <v/>
      </c>
      <c r="D4" s="9"/>
      <c r="E4" s="9" t="s">
        <v>114</v>
      </c>
      <c r="F4" s="9"/>
      <c r="G4" s="9"/>
      <c r="H4" s="9" t="s">
        <v>115</v>
      </c>
    </row>
    <row r="5" spans="1:8" ht="14.65" customHeight="1">
      <c r="A5" s="8">
        <v>2</v>
      </c>
      <c r="B5" s="9" t="s">
        <v>116</v>
      </c>
      <c r="C5" s="9" t="str">
        <f t="shared" si="0"/>
        <v/>
      </c>
      <c r="D5" s="9"/>
      <c r="E5" s="9" t="s">
        <v>114</v>
      </c>
      <c r="F5" s="9"/>
      <c r="G5" s="9"/>
      <c r="H5" s="9" t="s">
        <v>117</v>
      </c>
    </row>
    <row r="6" spans="1:8" ht="14.65" customHeight="1">
      <c r="A6" s="8">
        <v>3</v>
      </c>
      <c r="B6" s="9" t="s">
        <v>10</v>
      </c>
      <c r="C6" s="9" t="str">
        <f t="shared" si="0"/>
        <v/>
      </c>
      <c r="D6" s="9"/>
      <c r="E6" s="9" t="s">
        <v>118</v>
      </c>
      <c r="F6" s="9"/>
      <c r="G6" s="9"/>
      <c r="H6" s="9" t="s">
        <v>115</v>
      </c>
    </row>
    <row r="7" spans="1:8" ht="14.65" customHeight="1">
      <c r="A7" s="8">
        <v>4</v>
      </c>
      <c r="B7" s="9" t="s">
        <v>84</v>
      </c>
      <c r="C7" s="9" t="str">
        <f t="shared" si="0"/>
        <v/>
      </c>
      <c r="D7" s="9"/>
      <c r="E7" s="9" t="s">
        <v>114</v>
      </c>
      <c r="F7" s="9"/>
      <c r="G7" s="9"/>
      <c r="H7" s="9" t="s">
        <v>115</v>
      </c>
    </row>
    <row r="8" spans="1:8" ht="14.65" customHeight="1">
      <c r="A8" s="8">
        <v>5</v>
      </c>
      <c r="B8" s="9" t="s">
        <v>119</v>
      </c>
      <c r="C8" s="9" t="str">
        <f t="shared" si="0"/>
        <v/>
      </c>
      <c r="D8" s="9"/>
      <c r="E8" s="9" t="s">
        <v>120</v>
      </c>
      <c r="F8" s="9"/>
      <c r="G8" s="9"/>
      <c r="H8" s="9" t="s">
        <v>117</v>
      </c>
    </row>
    <row r="9" spans="1:8" ht="14.65" customHeight="1">
      <c r="A9" s="8">
        <v>6</v>
      </c>
      <c r="B9" s="9" t="s">
        <v>18</v>
      </c>
      <c r="C9" s="9" t="str">
        <f t="shared" si="0"/>
        <v/>
      </c>
      <c r="D9" s="9"/>
      <c r="E9" s="9" t="s">
        <v>121</v>
      </c>
      <c r="F9" s="9"/>
      <c r="G9" s="9"/>
      <c r="H9" s="9" t="s">
        <v>115</v>
      </c>
    </row>
    <row r="10" spans="1:8" ht="14.65" customHeight="1">
      <c r="A10" s="8">
        <v>7</v>
      </c>
      <c r="B10" s="9" t="s">
        <v>34</v>
      </c>
      <c r="C10" s="9" t="str">
        <f t="shared" si="0"/>
        <v/>
      </c>
      <c r="D10" s="9"/>
      <c r="E10" s="9" t="s">
        <v>118</v>
      </c>
      <c r="F10" s="9"/>
      <c r="G10" s="9"/>
      <c r="H10" s="9" t="s">
        <v>115</v>
      </c>
    </row>
    <row r="11" spans="1:8" ht="14.65" customHeight="1">
      <c r="A11" s="8">
        <v>8</v>
      </c>
      <c r="B11" s="9" t="s">
        <v>73</v>
      </c>
      <c r="C11" s="9" t="str">
        <f t="shared" si="0"/>
        <v/>
      </c>
      <c r="D11" s="9"/>
      <c r="E11" s="9" t="s">
        <v>121</v>
      </c>
      <c r="F11" s="9"/>
      <c r="G11" s="9"/>
      <c r="H11" s="9" t="s">
        <v>115</v>
      </c>
    </row>
    <row r="12" spans="1:8" ht="14.65" customHeight="1">
      <c r="A12" s="8">
        <v>9</v>
      </c>
      <c r="B12" s="9" t="s">
        <v>61</v>
      </c>
      <c r="C12" s="9" t="str">
        <f t="shared" si="0"/>
        <v/>
      </c>
      <c r="D12" s="9"/>
      <c r="E12" s="9" t="s">
        <v>122</v>
      </c>
      <c r="F12" s="9"/>
      <c r="G12" s="9"/>
      <c r="H12" s="9" t="s">
        <v>115</v>
      </c>
    </row>
    <row r="13" spans="1:8" ht="14.65" customHeight="1">
      <c r="A13" s="8">
        <v>10</v>
      </c>
      <c r="B13" s="9" t="s">
        <v>52</v>
      </c>
      <c r="C13" s="9" t="str">
        <f t="shared" si="0"/>
        <v/>
      </c>
      <c r="D13" s="9"/>
      <c r="E13" s="9" t="s">
        <v>123</v>
      </c>
      <c r="F13" s="9"/>
      <c r="G13" s="9"/>
      <c r="H13" s="9" t="s">
        <v>115</v>
      </c>
    </row>
    <row r="14" spans="1:8" ht="14.65" customHeight="1">
      <c r="A14" s="8">
        <v>11</v>
      </c>
      <c r="B14" s="9" t="s">
        <v>124</v>
      </c>
      <c r="C14" s="9" t="str">
        <f t="shared" si="0"/>
        <v/>
      </c>
      <c r="D14" s="9"/>
      <c r="E14" s="9" t="s">
        <v>121</v>
      </c>
      <c r="F14" s="9"/>
      <c r="G14" s="9"/>
      <c r="H14" s="9" t="s">
        <v>115</v>
      </c>
    </row>
    <row r="15" spans="1:8" ht="14.65" customHeight="1">
      <c r="A15" s="8">
        <v>12</v>
      </c>
      <c r="B15" s="9" t="s">
        <v>125</v>
      </c>
      <c r="C15" s="9" t="str">
        <f t="shared" si="0"/>
        <v/>
      </c>
      <c r="D15" s="9"/>
      <c r="E15" s="9" t="s">
        <v>121</v>
      </c>
      <c r="F15" s="9"/>
      <c r="G15" s="9"/>
      <c r="H15" s="9" t="s">
        <v>115</v>
      </c>
    </row>
    <row r="16" spans="1:8" ht="14.65" customHeight="1">
      <c r="A16" s="8">
        <v>13</v>
      </c>
      <c r="B16" s="9" t="s">
        <v>41</v>
      </c>
      <c r="C16" s="9" t="str">
        <f t="shared" si="0"/>
        <v/>
      </c>
      <c r="D16" s="9"/>
      <c r="E16" s="9" t="s">
        <v>120</v>
      </c>
      <c r="F16" s="9"/>
      <c r="G16" s="9"/>
      <c r="H16" s="9" t="s">
        <v>115</v>
      </c>
    </row>
    <row r="17" spans="1:8" ht="14.65" customHeight="1">
      <c r="A17" s="8">
        <v>14</v>
      </c>
      <c r="B17" s="9" t="s">
        <v>33</v>
      </c>
      <c r="C17" s="9" t="str">
        <f t="shared" si="0"/>
        <v/>
      </c>
      <c r="D17" s="9"/>
      <c r="E17" s="9" t="s">
        <v>126</v>
      </c>
      <c r="F17" s="9"/>
      <c r="G17" s="9"/>
      <c r="H17" s="9" t="s">
        <v>115</v>
      </c>
    </row>
    <row r="18" spans="1:8" ht="14.65" customHeight="1">
      <c r="A18" s="8">
        <v>15</v>
      </c>
      <c r="B18" s="9" t="s">
        <v>127</v>
      </c>
      <c r="C18" s="9" t="str">
        <f t="shared" si="0"/>
        <v/>
      </c>
      <c r="D18" s="9"/>
      <c r="E18" s="9" t="s">
        <v>123</v>
      </c>
      <c r="F18" s="9"/>
      <c r="G18" s="9"/>
      <c r="H18" s="9" t="s">
        <v>115</v>
      </c>
    </row>
    <row r="19" spans="1:8" ht="14.65" customHeight="1">
      <c r="A19" s="8">
        <v>16</v>
      </c>
      <c r="B19" s="9" t="s">
        <v>13</v>
      </c>
      <c r="C19" s="9" t="str">
        <f t="shared" si="0"/>
        <v/>
      </c>
      <c r="D19" s="9"/>
      <c r="E19" s="9" t="s">
        <v>118</v>
      </c>
      <c r="F19" s="9"/>
      <c r="G19" s="9"/>
      <c r="H19" s="9" t="s">
        <v>115</v>
      </c>
    </row>
    <row r="20" spans="1:8" ht="14.65" customHeight="1">
      <c r="A20" s="8">
        <v>17</v>
      </c>
      <c r="B20" s="9" t="s">
        <v>39</v>
      </c>
      <c r="C20" s="9" t="str">
        <f t="shared" si="0"/>
        <v/>
      </c>
      <c r="D20" s="9"/>
      <c r="E20" s="9" t="s">
        <v>121</v>
      </c>
      <c r="F20" s="9"/>
      <c r="G20" s="9"/>
      <c r="H20" s="9" t="s">
        <v>115</v>
      </c>
    </row>
    <row r="21" spans="1:8" ht="14.65" customHeight="1">
      <c r="A21" s="8">
        <v>18</v>
      </c>
      <c r="B21" s="9" t="s">
        <v>37</v>
      </c>
      <c r="C21" s="9" t="str">
        <f t="shared" si="0"/>
        <v/>
      </c>
      <c r="D21" s="9"/>
      <c r="E21" s="9" t="s">
        <v>121</v>
      </c>
      <c r="F21" s="9"/>
      <c r="G21" s="9"/>
      <c r="H21" s="9" t="s">
        <v>115</v>
      </c>
    </row>
    <row r="22" spans="1:8" ht="14.65" customHeight="1">
      <c r="A22" s="8">
        <v>19</v>
      </c>
      <c r="B22" s="9" t="s">
        <v>67</v>
      </c>
      <c r="C22" s="9" t="str">
        <f t="shared" si="0"/>
        <v/>
      </c>
      <c r="D22" s="9"/>
      <c r="E22" s="9" t="s">
        <v>118</v>
      </c>
      <c r="F22" s="9"/>
      <c r="G22" s="9"/>
      <c r="H22" s="9" t="s">
        <v>115</v>
      </c>
    </row>
    <row r="23" spans="1:8" ht="14.65" customHeight="1">
      <c r="A23" s="8">
        <v>20</v>
      </c>
      <c r="B23" s="9" t="s">
        <v>7</v>
      </c>
      <c r="C23" s="9" t="str">
        <f t="shared" si="0"/>
        <v/>
      </c>
      <c r="D23" s="9"/>
      <c r="E23" s="9" t="s">
        <v>128</v>
      </c>
      <c r="F23" s="9"/>
      <c r="G23" s="9"/>
      <c r="H23" s="9" t="s">
        <v>115</v>
      </c>
    </row>
    <row r="24" spans="1:8" ht="14.65" customHeight="1">
      <c r="A24" s="8">
        <v>21</v>
      </c>
      <c r="B24" s="9" t="s">
        <v>129</v>
      </c>
      <c r="C24" s="9" t="str">
        <f t="shared" si="0"/>
        <v/>
      </c>
      <c r="D24" s="9"/>
      <c r="E24" s="9" t="s">
        <v>118</v>
      </c>
      <c r="F24" s="9"/>
      <c r="G24" s="9"/>
      <c r="H24" s="9" t="s">
        <v>115</v>
      </c>
    </row>
    <row r="25" spans="1:8" ht="14.65" customHeight="1">
      <c r="A25" s="8">
        <v>22</v>
      </c>
      <c r="B25" s="9" t="s">
        <v>11</v>
      </c>
      <c r="C25" s="9" t="str">
        <f t="shared" si="0"/>
        <v/>
      </c>
      <c r="D25" s="9"/>
      <c r="E25" s="9" t="s">
        <v>118</v>
      </c>
      <c r="F25" s="9"/>
      <c r="G25" s="9"/>
      <c r="H25" s="9" t="s">
        <v>115</v>
      </c>
    </row>
    <row r="26" spans="1:8" ht="14.65" customHeight="1">
      <c r="A26" s="8">
        <v>23</v>
      </c>
      <c r="B26" s="9" t="s">
        <v>130</v>
      </c>
      <c r="C26" s="9" t="str">
        <f t="shared" si="0"/>
        <v/>
      </c>
      <c r="D26" s="9"/>
      <c r="E26" s="9" t="s">
        <v>114</v>
      </c>
      <c r="F26" s="9"/>
      <c r="G26" s="9"/>
      <c r="H26" s="9" t="s">
        <v>115</v>
      </c>
    </row>
    <row r="27" spans="1:8" ht="14.65" customHeight="1">
      <c r="A27" s="8">
        <v>24</v>
      </c>
      <c r="B27" s="9" t="s">
        <v>12</v>
      </c>
      <c r="C27" s="9" t="str">
        <f t="shared" si="0"/>
        <v/>
      </c>
      <c r="D27" s="9"/>
      <c r="E27" s="9" t="s">
        <v>121</v>
      </c>
      <c r="F27" s="9"/>
      <c r="G27" s="9"/>
      <c r="H27" s="9" t="s">
        <v>115</v>
      </c>
    </row>
    <row r="28" spans="1:8" ht="14.65" customHeight="1">
      <c r="A28" s="8">
        <v>25</v>
      </c>
      <c r="B28" s="9" t="s">
        <v>131</v>
      </c>
      <c r="C28" s="9" t="str">
        <f t="shared" si="0"/>
        <v/>
      </c>
      <c r="D28" s="9"/>
      <c r="E28" s="9" t="s">
        <v>121</v>
      </c>
      <c r="F28" s="9"/>
      <c r="G28" s="9"/>
      <c r="H28" s="9" t="s">
        <v>132</v>
      </c>
    </row>
    <row r="29" spans="1:8" ht="14.65" customHeight="1">
      <c r="A29" s="8">
        <v>26</v>
      </c>
      <c r="B29" s="9" t="s">
        <v>133</v>
      </c>
      <c r="C29" s="9" t="str">
        <f t="shared" si="0"/>
        <v/>
      </c>
      <c r="D29" s="9"/>
      <c r="E29" s="9" t="s">
        <v>118</v>
      </c>
      <c r="F29" s="9"/>
      <c r="G29" s="9"/>
      <c r="H29" s="9" t="s">
        <v>115</v>
      </c>
    </row>
    <row r="30" spans="1:8" ht="14.65" customHeight="1">
      <c r="A30" s="8">
        <v>27</v>
      </c>
      <c r="B30" s="9" t="s">
        <v>6</v>
      </c>
      <c r="C30" s="9" t="str">
        <f t="shared" si="0"/>
        <v/>
      </c>
      <c r="D30" s="9"/>
      <c r="E30" s="9" t="s">
        <v>128</v>
      </c>
      <c r="F30" s="9"/>
      <c r="G30" s="9"/>
      <c r="H30" s="9" t="s">
        <v>115</v>
      </c>
    </row>
    <row r="31" spans="1:8" ht="14.65" customHeight="1">
      <c r="A31" s="8">
        <v>28</v>
      </c>
      <c r="B31" s="9" t="s">
        <v>60</v>
      </c>
      <c r="C31" s="9" t="str">
        <f t="shared" si="0"/>
        <v/>
      </c>
      <c r="D31" s="9"/>
      <c r="E31" s="9" t="s">
        <v>122</v>
      </c>
      <c r="F31" s="9"/>
      <c r="G31" s="9"/>
      <c r="H31" s="9" t="s">
        <v>115</v>
      </c>
    </row>
    <row r="32" spans="1:8" ht="14.65" customHeight="1">
      <c r="A32" s="8">
        <v>29</v>
      </c>
      <c r="B32" s="9" t="s">
        <v>17</v>
      </c>
      <c r="C32" s="9" t="str">
        <f t="shared" si="0"/>
        <v/>
      </c>
      <c r="D32" s="9"/>
      <c r="E32" s="9" t="s">
        <v>120</v>
      </c>
      <c r="F32" s="9"/>
      <c r="G32" s="9"/>
      <c r="H32" s="9" t="s">
        <v>115</v>
      </c>
    </row>
    <row r="33" spans="1:8" ht="14.65" customHeight="1">
      <c r="A33" s="8">
        <v>30</v>
      </c>
      <c r="B33" s="9" t="s">
        <v>42</v>
      </c>
      <c r="C33" s="9" t="str">
        <f t="shared" si="0"/>
        <v/>
      </c>
      <c r="D33" s="9"/>
      <c r="E33" s="9" t="s">
        <v>126</v>
      </c>
      <c r="F33" s="9" t="s">
        <v>22</v>
      </c>
      <c r="G33" s="9"/>
      <c r="H33" s="9"/>
    </row>
    <row r="34" spans="1:8" ht="14.65" customHeight="1">
      <c r="A34" s="8">
        <v>31</v>
      </c>
      <c r="B34" s="9" t="s">
        <v>15</v>
      </c>
      <c r="C34" s="9" t="str">
        <f t="shared" si="0"/>
        <v/>
      </c>
      <c r="D34" s="9"/>
      <c r="E34" s="9" t="s">
        <v>118</v>
      </c>
      <c r="F34" s="9"/>
      <c r="G34" s="9"/>
      <c r="H34" s="9" t="s">
        <v>115</v>
      </c>
    </row>
    <row r="35" spans="1:8" ht="14.65" customHeight="1">
      <c r="A35" s="8">
        <v>32</v>
      </c>
      <c r="B35" s="9" t="s">
        <v>134</v>
      </c>
      <c r="C35" s="9" t="str">
        <f t="shared" si="0"/>
        <v/>
      </c>
      <c r="D35" s="9"/>
      <c r="E35" s="9" t="s">
        <v>122</v>
      </c>
      <c r="F35" s="9"/>
      <c r="G35" s="9"/>
      <c r="H35" s="9" t="s">
        <v>135</v>
      </c>
    </row>
    <row r="36" spans="1:8" ht="14.65" customHeight="1">
      <c r="A36" s="8">
        <v>33</v>
      </c>
      <c r="B36" s="9" t="s">
        <v>136</v>
      </c>
      <c r="C36" s="9" t="str">
        <f t="shared" ref="C36:C67" si="1">IF(COUNTIF($B$4:$B$61,B36)&gt;1,"Duplicate","")</f>
        <v/>
      </c>
      <c r="D36" s="9"/>
      <c r="E36" s="9" t="s">
        <v>137</v>
      </c>
      <c r="F36" s="9"/>
      <c r="G36" s="9"/>
      <c r="H36" s="9" t="s">
        <v>115</v>
      </c>
    </row>
    <row r="37" spans="1:8" ht="14.65" customHeight="1">
      <c r="A37" s="24">
        <v>34</v>
      </c>
      <c r="B37" s="25" t="s">
        <v>138</v>
      </c>
      <c r="C37" s="25" t="str">
        <f t="shared" si="1"/>
        <v/>
      </c>
      <c r="D37" s="25"/>
      <c r="E37" s="25"/>
      <c r="F37" s="25"/>
      <c r="G37" s="25"/>
      <c r="H37" s="26" t="s">
        <v>117</v>
      </c>
    </row>
    <row r="38" spans="1:8" ht="14.65" customHeight="1">
      <c r="A38" s="8">
        <v>35</v>
      </c>
      <c r="B38" s="9" t="s">
        <v>40</v>
      </c>
      <c r="C38" s="9" t="str">
        <f t="shared" si="1"/>
        <v/>
      </c>
      <c r="D38" s="9"/>
      <c r="E38" s="9" t="s">
        <v>114</v>
      </c>
      <c r="F38" s="9"/>
      <c r="G38" s="9"/>
      <c r="H38" s="9" t="s">
        <v>115</v>
      </c>
    </row>
    <row r="39" spans="1:8" ht="14.65" customHeight="1">
      <c r="A39" s="8">
        <v>36</v>
      </c>
      <c r="B39" s="9" t="s">
        <v>139</v>
      </c>
      <c r="C39" s="9" t="str">
        <f t="shared" si="1"/>
        <v/>
      </c>
      <c r="D39" s="9"/>
      <c r="E39" s="9" t="s">
        <v>126</v>
      </c>
      <c r="F39" s="9"/>
      <c r="G39" s="9"/>
      <c r="H39" s="9" t="s">
        <v>115</v>
      </c>
    </row>
    <row r="40" spans="1:8" ht="14.65" customHeight="1">
      <c r="A40" s="8">
        <v>37</v>
      </c>
      <c r="B40" s="9" t="s">
        <v>27</v>
      </c>
      <c r="C40" s="9" t="str">
        <f t="shared" si="1"/>
        <v/>
      </c>
      <c r="D40" s="9"/>
      <c r="E40" s="9" t="s">
        <v>126</v>
      </c>
      <c r="F40" s="9"/>
      <c r="G40" s="9"/>
      <c r="H40" s="9" t="s">
        <v>115</v>
      </c>
    </row>
    <row r="41" spans="1:8" ht="14.65" customHeight="1">
      <c r="A41" s="8">
        <v>38</v>
      </c>
      <c r="B41" s="9" t="s">
        <v>140</v>
      </c>
      <c r="C41" s="9" t="str">
        <f t="shared" si="1"/>
        <v/>
      </c>
      <c r="D41" s="9"/>
      <c r="E41" s="9"/>
      <c r="F41" s="9"/>
      <c r="G41" s="9"/>
      <c r="H41" s="9" t="s">
        <v>141</v>
      </c>
    </row>
    <row r="42" spans="1:8" ht="14.65" customHeight="1">
      <c r="A42" s="8">
        <v>39</v>
      </c>
      <c r="B42" s="9" t="s">
        <v>142</v>
      </c>
      <c r="C42" s="9" t="str">
        <f t="shared" si="1"/>
        <v/>
      </c>
      <c r="D42" s="9"/>
      <c r="E42" s="9"/>
      <c r="F42" s="9"/>
      <c r="G42" s="9"/>
      <c r="H42" s="9" t="s">
        <v>115</v>
      </c>
    </row>
    <row r="43" spans="1:8" ht="14.65" customHeight="1">
      <c r="A43" s="8">
        <v>40</v>
      </c>
      <c r="B43" s="9" t="s">
        <v>143</v>
      </c>
      <c r="C43" s="9" t="str">
        <f t="shared" si="1"/>
        <v/>
      </c>
      <c r="D43" s="9"/>
      <c r="E43" s="9"/>
      <c r="F43" s="9"/>
      <c r="G43" s="9"/>
      <c r="H43" s="9" t="s">
        <v>115</v>
      </c>
    </row>
    <row r="44" spans="1:8" ht="14.65" customHeight="1">
      <c r="A44" s="8">
        <v>41</v>
      </c>
      <c r="B44" s="9" t="s">
        <v>46</v>
      </c>
      <c r="C44" s="9" t="str">
        <f t="shared" si="1"/>
        <v/>
      </c>
      <c r="D44" s="9"/>
      <c r="E44" s="9"/>
      <c r="F44" s="9"/>
      <c r="G44" s="9"/>
      <c r="H44" s="9" t="s">
        <v>115</v>
      </c>
    </row>
    <row r="45" spans="1:8" ht="14.65" customHeight="1">
      <c r="A45" s="8">
        <v>42</v>
      </c>
      <c r="B45" s="9" t="s">
        <v>49</v>
      </c>
      <c r="C45" s="9" t="str">
        <f t="shared" si="1"/>
        <v/>
      </c>
      <c r="D45" s="9"/>
      <c r="E45" s="9"/>
      <c r="F45" s="9"/>
      <c r="G45" s="9"/>
      <c r="H45" s="9" t="s">
        <v>115</v>
      </c>
    </row>
    <row r="46" spans="1:8" ht="14.65" customHeight="1">
      <c r="A46" s="8">
        <v>43</v>
      </c>
      <c r="B46" s="9" t="s">
        <v>87</v>
      </c>
      <c r="C46" s="9" t="str">
        <f t="shared" si="1"/>
        <v/>
      </c>
      <c r="D46" s="9"/>
      <c r="E46" s="9"/>
      <c r="F46" s="9"/>
      <c r="G46" s="9"/>
      <c r="H46" s="9" t="s">
        <v>115</v>
      </c>
    </row>
    <row r="47" spans="1:8" ht="14.65" customHeight="1">
      <c r="A47" s="8">
        <v>44</v>
      </c>
      <c r="B47" s="9" t="s">
        <v>54</v>
      </c>
      <c r="C47" s="9" t="str">
        <f t="shared" si="1"/>
        <v/>
      </c>
      <c r="D47" s="9"/>
      <c r="E47" s="9"/>
      <c r="F47" s="9"/>
      <c r="G47" s="9"/>
      <c r="H47" s="9" t="s">
        <v>115</v>
      </c>
    </row>
    <row r="48" spans="1:8" ht="14.65" customHeight="1">
      <c r="A48" s="8">
        <v>45</v>
      </c>
      <c r="B48" s="9" t="s">
        <v>57</v>
      </c>
      <c r="C48" s="9" t="str">
        <f t="shared" si="1"/>
        <v/>
      </c>
      <c r="D48" s="9"/>
      <c r="E48" s="9"/>
      <c r="F48" s="9"/>
      <c r="G48" s="9"/>
      <c r="H48" s="9" t="s">
        <v>115</v>
      </c>
    </row>
    <row r="49" spans="1:8" ht="14.65" customHeight="1">
      <c r="A49" s="8">
        <v>46</v>
      </c>
      <c r="B49" s="9" t="s">
        <v>144</v>
      </c>
      <c r="C49" s="9" t="str">
        <f t="shared" si="1"/>
        <v/>
      </c>
      <c r="D49" s="9"/>
      <c r="E49" s="9"/>
      <c r="F49" s="9"/>
      <c r="G49" s="9"/>
      <c r="H49" s="9" t="s">
        <v>115</v>
      </c>
    </row>
    <row r="50" spans="1:8" ht="14.65" customHeight="1">
      <c r="A50" s="8">
        <v>47</v>
      </c>
      <c r="B50" s="9" t="s">
        <v>145</v>
      </c>
      <c r="C50" s="9" t="str">
        <f t="shared" si="1"/>
        <v/>
      </c>
      <c r="D50" s="9"/>
      <c r="E50" s="9"/>
      <c r="F50" s="9" t="s">
        <v>22</v>
      </c>
      <c r="G50" s="9"/>
      <c r="H50" s="9"/>
    </row>
    <row r="51" spans="1:8" ht="14.65" customHeight="1">
      <c r="A51" s="8">
        <v>48</v>
      </c>
      <c r="B51" s="9" t="s">
        <v>146</v>
      </c>
      <c r="C51" s="9" t="str">
        <f t="shared" si="1"/>
        <v/>
      </c>
      <c r="D51" s="9"/>
      <c r="E51" s="9"/>
      <c r="F51" s="9" t="s">
        <v>22</v>
      </c>
      <c r="G51" s="9"/>
      <c r="H51" s="9"/>
    </row>
    <row r="52" spans="1:8" ht="14.65" customHeight="1">
      <c r="A52" s="8">
        <v>49</v>
      </c>
      <c r="B52" s="9" t="s">
        <v>147</v>
      </c>
      <c r="C52" s="9" t="str">
        <f t="shared" si="1"/>
        <v/>
      </c>
      <c r="D52" s="9"/>
      <c r="E52" s="9"/>
      <c r="F52" s="9"/>
      <c r="G52" s="9"/>
      <c r="H52" s="9" t="s">
        <v>115</v>
      </c>
    </row>
    <row r="53" spans="1:8" ht="14.65" customHeight="1">
      <c r="A53" s="24">
        <v>50</v>
      </c>
      <c r="B53" s="25" t="s">
        <v>148</v>
      </c>
      <c r="C53" s="25" t="str">
        <f t="shared" si="1"/>
        <v/>
      </c>
      <c r="D53" s="25"/>
      <c r="E53" s="25"/>
      <c r="F53" s="25"/>
      <c r="G53" s="25"/>
      <c r="H53" s="26" t="s">
        <v>117</v>
      </c>
    </row>
    <row r="54" spans="1:8" ht="14.65" customHeight="1">
      <c r="A54" s="8">
        <v>51</v>
      </c>
      <c r="B54" s="9" t="s">
        <v>149</v>
      </c>
      <c r="C54" s="9" t="str">
        <f t="shared" si="1"/>
        <v/>
      </c>
      <c r="D54" s="9"/>
      <c r="E54" s="9"/>
      <c r="F54" s="9"/>
      <c r="G54" s="9"/>
      <c r="H54" s="9" t="s">
        <v>117</v>
      </c>
    </row>
    <row r="55" spans="1:8" ht="14.65" customHeight="1">
      <c r="A55" s="8">
        <v>52</v>
      </c>
      <c r="B55" s="9" t="s">
        <v>63</v>
      </c>
      <c r="C55" s="9" t="str">
        <f t="shared" si="1"/>
        <v/>
      </c>
      <c r="D55" s="9"/>
      <c r="E55" s="9"/>
      <c r="F55" s="9"/>
      <c r="G55" s="9"/>
      <c r="H55" s="9" t="s">
        <v>115</v>
      </c>
    </row>
    <row r="56" spans="1:8" ht="14.65" customHeight="1">
      <c r="A56" s="8">
        <v>53</v>
      </c>
      <c r="B56" s="9" t="s">
        <v>150</v>
      </c>
      <c r="C56" s="9" t="str">
        <f t="shared" si="1"/>
        <v/>
      </c>
      <c r="D56" s="9"/>
      <c r="E56" s="9"/>
      <c r="F56" s="9"/>
      <c r="G56" s="9"/>
      <c r="H56" s="9" t="s">
        <v>117</v>
      </c>
    </row>
    <row r="57" spans="1:8" ht="14.65" customHeight="1">
      <c r="A57" s="8">
        <v>54</v>
      </c>
      <c r="B57" s="9" t="s">
        <v>151</v>
      </c>
      <c r="C57" s="9" t="str">
        <f t="shared" si="1"/>
        <v/>
      </c>
      <c r="D57" s="9"/>
      <c r="E57" s="9"/>
      <c r="F57" s="9" t="s">
        <v>22</v>
      </c>
      <c r="G57" s="9"/>
      <c r="H57" s="9"/>
    </row>
    <row r="58" spans="1:8" ht="14.65" customHeight="1">
      <c r="A58" s="8">
        <v>55</v>
      </c>
      <c r="B58" s="9" t="s">
        <v>152</v>
      </c>
      <c r="C58" s="9" t="str">
        <f t="shared" si="1"/>
        <v/>
      </c>
      <c r="D58" s="9"/>
      <c r="E58" s="9"/>
      <c r="F58" s="9" t="s">
        <v>22</v>
      </c>
      <c r="G58" s="9"/>
      <c r="H58" s="9"/>
    </row>
    <row r="59" spans="1:8" ht="14.65" customHeight="1">
      <c r="A59" s="8">
        <v>56</v>
      </c>
      <c r="B59" s="9" t="s">
        <v>153</v>
      </c>
      <c r="C59" s="9" t="str">
        <f t="shared" si="1"/>
        <v/>
      </c>
      <c r="D59" s="9"/>
      <c r="E59" s="9"/>
      <c r="F59" s="9"/>
      <c r="G59" s="9"/>
      <c r="H59" s="9" t="s">
        <v>154</v>
      </c>
    </row>
    <row r="60" spans="1:8" ht="14.65" customHeight="1">
      <c r="A60" s="8">
        <v>57</v>
      </c>
      <c r="B60" s="9" t="s">
        <v>155</v>
      </c>
      <c r="C60" s="9" t="str">
        <f t="shared" si="1"/>
        <v/>
      </c>
      <c r="D60" s="9"/>
      <c r="E60" s="9"/>
      <c r="F60" s="9"/>
      <c r="G60" s="9"/>
      <c r="H60" s="9" t="s">
        <v>156</v>
      </c>
    </row>
    <row r="61" spans="1:8" ht="14.65" customHeight="1">
      <c r="A61" s="8">
        <v>58</v>
      </c>
      <c r="B61" s="9" t="s">
        <v>157</v>
      </c>
      <c r="C61" s="9" t="str">
        <f t="shared" si="1"/>
        <v/>
      </c>
      <c r="D61" s="9"/>
      <c r="E61" s="9"/>
      <c r="F61" s="9" t="s">
        <v>22</v>
      </c>
      <c r="G61" s="9"/>
      <c r="H61" s="9" t="s">
        <v>158</v>
      </c>
    </row>
  </sheetData>
  <mergeCells count="1">
    <mergeCell ref="A1:G1"/>
  </mergeCells>
  <conditionalFormatting sqref="C4:C61">
    <cfRule type="expression" dxfId="9" priority="1">
      <formula>C4="Duplicate"</formula>
    </cfRule>
  </conditionalFormatting>
  <conditionalFormatting sqref="D4:D61">
    <cfRule type="expression" dxfId="8" priority="2">
      <formula>D4="Keep"</formula>
    </cfRule>
    <cfRule type="expression" dxfId="7" priority="3">
      <formula>D4="Hide"</formula>
    </cfRule>
    <cfRule type="expression" dxfId="6" priority="4">
      <formula>D4="Not Working"</formula>
    </cfRule>
  </conditionalFormatting>
  <dataValidations count="1">
    <dataValidation type="list" sqref="D4:D61" xr:uid="{00000000-0002-0000-0100-000000000000}">
      <formula1>"Keep,Review,Hide,Not Working"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D6EBC7-BDEA-4E4B-A7A0-AE0DA67B7164}">
          <x14:formula1>
            <xm:f>'Category - LoV'!$D$2:$D$12</xm:f>
          </x14:formula1>
          <xm:sqref>E4:E61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activeCell="B21" sqref="B21"/>
    </sheetView>
  </sheetViews>
  <sheetFormatPr defaultRowHeight="14.25"/>
  <cols>
    <col min="1" max="1" width="9" customWidth="1"/>
    <col min="2" max="2" width="42" customWidth="1"/>
    <col min="3" max="4" width="18" customWidth="1"/>
    <col min="5" max="5" width="40" customWidth="1"/>
    <col min="7" max="8" width="22" customWidth="1"/>
  </cols>
  <sheetData>
    <row r="1" spans="1:8" ht="23.25">
      <c r="A1" s="27" t="s">
        <v>159</v>
      </c>
      <c r="B1" s="27"/>
      <c r="C1" s="27"/>
      <c r="D1" s="27"/>
      <c r="E1" s="27"/>
      <c r="G1" s="1" t="s">
        <v>160</v>
      </c>
      <c r="H1" s="1" t="s">
        <v>161</v>
      </c>
    </row>
    <row r="2" spans="1:8">
      <c r="A2" s="36" t="s">
        <v>162</v>
      </c>
      <c r="B2" s="36"/>
      <c r="C2" s="36"/>
      <c r="D2" s="36"/>
      <c r="E2" s="36"/>
      <c r="G2" s="10" t="s">
        <v>163</v>
      </c>
      <c r="H2" s="10">
        <v>10</v>
      </c>
    </row>
    <row r="3" spans="1:8">
      <c r="G3" s="10"/>
      <c r="H3" s="10"/>
    </row>
    <row r="4" spans="1:8" ht="15">
      <c r="A4" s="6" t="s">
        <v>108</v>
      </c>
      <c r="B4" s="6" t="s">
        <v>164</v>
      </c>
      <c r="C4" s="6" t="s">
        <v>165</v>
      </c>
      <c r="D4" s="6" t="s">
        <v>111</v>
      </c>
      <c r="E4" s="6" t="s">
        <v>166</v>
      </c>
      <c r="G4" s="10"/>
      <c r="H4" s="10"/>
    </row>
    <row r="5" spans="1:8" ht="15.4" customHeight="1">
      <c r="A5" s="8">
        <v>1</v>
      </c>
      <c r="B5" s="9" t="s">
        <v>167</v>
      </c>
      <c r="C5" s="9" t="s">
        <v>168</v>
      </c>
      <c r="D5" s="9"/>
      <c r="E5" s="9"/>
    </row>
    <row r="6" spans="1:8" ht="15.4" customHeight="1">
      <c r="A6" s="8">
        <v>2</v>
      </c>
      <c r="B6" s="9" t="s">
        <v>169</v>
      </c>
      <c r="C6" s="9" t="s">
        <v>168</v>
      </c>
      <c r="D6" s="9"/>
      <c r="E6" s="9"/>
    </row>
    <row r="7" spans="1:8" ht="15.4" customHeight="1">
      <c r="A7" s="8">
        <v>3</v>
      </c>
      <c r="B7" s="9" t="s">
        <v>170</v>
      </c>
      <c r="C7" s="9" t="s">
        <v>168</v>
      </c>
      <c r="D7" s="9"/>
      <c r="E7" s="9"/>
    </row>
    <row r="8" spans="1:8" ht="15.4" customHeight="1">
      <c r="A8" s="8">
        <v>4</v>
      </c>
      <c r="B8" s="9" t="s">
        <v>171</v>
      </c>
      <c r="C8" s="9" t="s">
        <v>168</v>
      </c>
      <c r="D8" s="9"/>
      <c r="E8" s="9"/>
    </row>
    <row r="9" spans="1:8" ht="15.4" customHeight="1">
      <c r="A9" s="8">
        <v>5</v>
      </c>
      <c r="B9" s="9" t="s">
        <v>172</v>
      </c>
      <c r="C9" s="9" t="s">
        <v>168</v>
      </c>
      <c r="D9" s="9"/>
      <c r="E9" s="9"/>
    </row>
    <row r="10" spans="1:8" ht="15.4" customHeight="1">
      <c r="A10" s="8">
        <v>6</v>
      </c>
      <c r="B10" s="9" t="s">
        <v>173</v>
      </c>
      <c r="C10" s="9" t="s">
        <v>168</v>
      </c>
      <c r="D10" s="9"/>
      <c r="E10" s="9"/>
    </row>
    <row r="11" spans="1:8" ht="15.4" customHeight="1">
      <c r="A11" s="8">
        <v>7</v>
      </c>
      <c r="B11" s="9" t="s">
        <v>174</v>
      </c>
      <c r="C11" s="9" t="s">
        <v>168</v>
      </c>
      <c r="D11" s="9"/>
      <c r="E11" s="9"/>
    </row>
    <row r="12" spans="1:8" ht="15.4" customHeight="1">
      <c r="A12" s="8">
        <v>8</v>
      </c>
      <c r="B12" s="9" t="s">
        <v>175</v>
      </c>
      <c r="C12" s="9" t="s">
        <v>168</v>
      </c>
      <c r="D12" s="9"/>
      <c r="E12" s="9"/>
    </row>
    <row r="13" spans="1:8" ht="15.4" customHeight="1">
      <c r="A13" s="8">
        <v>9</v>
      </c>
      <c r="B13" s="9" t="s">
        <v>176</v>
      </c>
      <c r="C13" s="9" t="s">
        <v>168</v>
      </c>
      <c r="D13" s="9"/>
      <c r="E13" s="9"/>
    </row>
    <row r="14" spans="1:8" ht="15.4" customHeight="1">
      <c r="A14" s="8">
        <v>10</v>
      </c>
      <c r="B14" s="9" t="s">
        <v>177</v>
      </c>
      <c r="C14" s="9" t="s">
        <v>168</v>
      </c>
      <c r="D14" s="9"/>
      <c r="E14" s="9"/>
    </row>
  </sheetData>
  <mergeCells count="2">
    <mergeCell ref="A1:E1"/>
    <mergeCell ref="A2:E2"/>
  </mergeCells>
  <conditionalFormatting sqref="C5:C14">
    <cfRule type="expression" dxfId="1" priority="1">
      <formula>C5="Section Header"</formula>
    </cfRule>
    <cfRule type="expression" dxfId="0" priority="2">
      <formula>C5="Landing Page"</formula>
    </cfRule>
  </conditionalFormatting>
  <dataValidations count="1">
    <dataValidation type="list" sqref="D5:D14" xr:uid="{00000000-0002-0000-0200-000000000000}">
      <formula1>"Keep,Review,Hide,Not Working"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ACE6-DFFB-4C06-ABCF-BEC087618C1F}">
  <dimension ref="B1:D13"/>
  <sheetViews>
    <sheetView workbookViewId="0">
      <selection activeCell="D13" sqref="D13"/>
    </sheetView>
  </sheetViews>
  <sheetFormatPr defaultRowHeight="14.25"/>
  <cols>
    <col min="2" max="2" width="35.375" customWidth="1"/>
    <col min="3" max="3" width="39.25" customWidth="1"/>
    <col min="4" max="4" width="39" customWidth="1"/>
  </cols>
  <sheetData>
    <row r="1" spans="2:4" ht="15">
      <c r="B1" s="11" t="s">
        <v>178</v>
      </c>
      <c r="D1" s="11" t="s">
        <v>179</v>
      </c>
    </row>
    <row r="2" spans="2:4">
      <c r="B2" t="s">
        <v>180</v>
      </c>
      <c r="D2" t="s">
        <v>181</v>
      </c>
    </row>
    <row r="3" spans="2:4">
      <c r="B3" t="s">
        <v>181</v>
      </c>
      <c r="D3" t="s">
        <v>123</v>
      </c>
    </row>
    <row r="4" spans="2:4">
      <c r="B4" t="s">
        <v>57</v>
      </c>
      <c r="D4" t="s">
        <v>120</v>
      </c>
    </row>
    <row r="5" spans="2:4">
      <c r="B5" t="s">
        <v>120</v>
      </c>
      <c r="D5" t="s">
        <v>182</v>
      </c>
    </row>
    <row r="6" spans="2:4">
      <c r="B6" t="s">
        <v>183</v>
      </c>
      <c r="D6" t="s">
        <v>128</v>
      </c>
    </row>
    <row r="7" spans="2:4">
      <c r="B7" t="s">
        <v>184</v>
      </c>
      <c r="D7" t="s">
        <v>185</v>
      </c>
    </row>
    <row r="8" spans="2:4">
      <c r="B8" t="s">
        <v>186</v>
      </c>
      <c r="D8" t="s">
        <v>187</v>
      </c>
    </row>
    <row r="9" spans="2:4">
      <c r="B9" t="s">
        <v>188</v>
      </c>
      <c r="D9" t="s">
        <v>189</v>
      </c>
    </row>
    <row r="10" spans="2:4">
      <c r="B10" t="s">
        <v>122</v>
      </c>
      <c r="D10" t="s">
        <v>190</v>
      </c>
    </row>
    <row r="11" spans="2:4">
      <c r="B11" t="s">
        <v>191</v>
      </c>
      <c r="D11" t="s">
        <v>192</v>
      </c>
    </row>
    <row r="12" spans="2:4">
      <c r="B12" t="s">
        <v>193</v>
      </c>
      <c r="D12" t="s">
        <v>194</v>
      </c>
    </row>
    <row r="13" spans="2:4">
      <c r="D13" t="s">
        <v>195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C631A-7A52-4F67-8C24-2DE0B8F73AC1}">
  <dimension ref="B1:D31"/>
  <sheetViews>
    <sheetView workbookViewId="0">
      <selection activeCell="C26" sqref="C26"/>
    </sheetView>
  </sheetViews>
  <sheetFormatPr defaultRowHeight="14.25"/>
  <cols>
    <col min="2" max="2" width="63.125" customWidth="1"/>
    <col min="3" max="3" width="15.625" customWidth="1"/>
    <col min="4" max="4" width="16.75" customWidth="1"/>
  </cols>
  <sheetData>
    <row r="1" spans="2:4" ht="15">
      <c r="B1" s="12" t="s">
        <v>1</v>
      </c>
      <c r="C1" s="14" t="s">
        <v>196</v>
      </c>
      <c r="D1" s="14" t="s">
        <v>197</v>
      </c>
    </row>
    <row r="2" spans="2:4">
      <c r="B2" s="15" t="s">
        <v>60</v>
      </c>
      <c r="C2" s="13">
        <v>2785</v>
      </c>
      <c r="D2">
        <f>_xlfn.XLOOKUP(B2,'Reports - New Category'!$B$4:$B$61,'Reports - New Category'!$A$4:$A$61,"no")</f>
        <v>28</v>
      </c>
    </row>
    <row r="3" spans="2:4">
      <c r="B3" s="15" t="s">
        <v>17</v>
      </c>
      <c r="C3" s="13">
        <v>2977</v>
      </c>
      <c r="D3">
        <f>_xlfn.XLOOKUP(B3,'Reports - New Category'!$B$4:$B$61,'Reports - New Category'!$A$4:$A$61,"no")</f>
        <v>29</v>
      </c>
    </row>
    <row r="4" spans="2:4">
      <c r="B4" s="15" t="s">
        <v>6</v>
      </c>
      <c r="C4" s="13">
        <v>3004</v>
      </c>
      <c r="D4">
        <f>_xlfn.XLOOKUP(B4,'Reports - New Category'!$B$4:$B$61,'Reports - New Category'!$A$4:$A$61,"no")</f>
        <v>27</v>
      </c>
    </row>
    <row r="5" spans="2:4">
      <c r="B5" s="15" t="s">
        <v>133</v>
      </c>
      <c r="C5" s="13">
        <v>3983</v>
      </c>
      <c r="D5">
        <f>_xlfn.XLOOKUP(B5,'Reports - New Category'!$B$4:$B$61,'Reports - New Category'!$A$4:$A$61,"no")</f>
        <v>26</v>
      </c>
    </row>
    <row r="6" spans="2:4">
      <c r="B6" s="15" t="s">
        <v>131</v>
      </c>
      <c r="C6" s="13">
        <v>4311</v>
      </c>
      <c r="D6">
        <f>_xlfn.XLOOKUP(B6,'Reports - New Category'!$B$4:$B$61,'Reports - New Category'!$A$4:$A$61,"no")</f>
        <v>25</v>
      </c>
    </row>
    <row r="7" spans="2:4">
      <c r="B7" s="15" t="s">
        <v>12</v>
      </c>
      <c r="C7" s="13">
        <v>4719</v>
      </c>
      <c r="D7">
        <f>_xlfn.XLOOKUP(B7,'Reports - New Category'!$B$4:$B$61,'Reports - New Category'!$A$4:$A$61,"no")</f>
        <v>24</v>
      </c>
    </row>
    <row r="8" spans="2:4">
      <c r="B8" s="15" t="s">
        <v>11</v>
      </c>
      <c r="C8" s="13">
        <v>4958</v>
      </c>
      <c r="D8">
        <f>_xlfn.XLOOKUP(B8,'Reports - New Category'!$B$4:$B$61,'Reports - New Category'!$A$4:$A$61,"no")</f>
        <v>22</v>
      </c>
    </row>
    <row r="9" spans="2:4" ht="15">
      <c r="B9" s="17" t="s">
        <v>198</v>
      </c>
      <c r="C9" s="18">
        <v>5387</v>
      </c>
      <c r="D9" s="20" t="str">
        <f>_xlfn.XLOOKUP(B9,'Reports - New Category'!$B$4:$B$61,'Reports - New Category'!$A$4:$A$61,"no")</f>
        <v>no</v>
      </c>
    </row>
    <row r="10" spans="2:4">
      <c r="B10" s="15" t="s">
        <v>7</v>
      </c>
      <c r="C10" s="13">
        <v>7742</v>
      </c>
      <c r="D10">
        <f>_xlfn.XLOOKUP(B10,'Reports - New Category'!$B$4:$B$61,'Reports - New Category'!$A$4:$A$61,"no")</f>
        <v>20</v>
      </c>
    </row>
    <row r="11" spans="2:4">
      <c r="B11" s="15" t="s">
        <v>129</v>
      </c>
      <c r="C11" s="13">
        <v>7953</v>
      </c>
      <c r="D11">
        <f>_xlfn.XLOOKUP(B11,'Reports - New Category'!$B$4:$B$61,'Reports - New Category'!$A$4:$A$61,"no")</f>
        <v>21</v>
      </c>
    </row>
    <row r="12" spans="2:4">
      <c r="B12" s="15" t="s">
        <v>67</v>
      </c>
      <c r="C12" s="13">
        <v>7998</v>
      </c>
      <c r="D12">
        <f>_xlfn.XLOOKUP(B12,'Reports - New Category'!$B$4:$B$61,'Reports - New Category'!$A$4:$A$61,"no")</f>
        <v>19</v>
      </c>
    </row>
    <row r="13" spans="2:4">
      <c r="B13" s="15" t="s">
        <v>39</v>
      </c>
      <c r="C13" s="13">
        <v>8342</v>
      </c>
      <c r="D13">
        <f>_xlfn.XLOOKUP(B13,'Reports - New Category'!$B$4:$B$61,'Reports - New Category'!$A$4:$A$61,"no")</f>
        <v>17</v>
      </c>
    </row>
    <row r="14" spans="2:4">
      <c r="B14" s="15" t="s">
        <v>37</v>
      </c>
      <c r="C14" s="13">
        <v>8459</v>
      </c>
      <c r="D14">
        <f>_xlfn.XLOOKUP(B14,'Reports - New Category'!$B$4:$B$61,'Reports - New Category'!$A$4:$A$61,"no")</f>
        <v>18</v>
      </c>
    </row>
    <row r="15" spans="2:4">
      <c r="B15" s="15" t="s">
        <v>13</v>
      </c>
      <c r="C15" s="13">
        <v>9072</v>
      </c>
      <c r="D15">
        <f>_xlfn.XLOOKUP(B15,'Reports - New Category'!$B$4:$B$61,'Reports - New Category'!$A$4:$A$61,"no")</f>
        <v>16</v>
      </c>
    </row>
    <row r="16" spans="2:4">
      <c r="B16" s="15" t="s">
        <v>130</v>
      </c>
      <c r="C16" s="13">
        <v>9300</v>
      </c>
      <c r="D16">
        <f>_xlfn.XLOOKUP(B16,'Reports - New Category'!$B$4:$B$61,'Reports - New Category'!$A$4:$A$61,"no")</f>
        <v>23</v>
      </c>
    </row>
    <row r="17" spans="2:4">
      <c r="B17" s="15" t="s">
        <v>127</v>
      </c>
      <c r="C17" s="13">
        <v>10952</v>
      </c>
      <c r="D17">
        <f>_xlfn.XLOOKUP(B17,'Reports - New Category'!$B$4:$B$61,'Reports - New Category'!$A$4:$A$61,"no")</f>
        <v>15</v>
      </c>
    </row>
    <row r="18" spans="2:4">
      <c r="B18" s="15" t="s">
        <v>33</v>
      </c>
      <c r="C18" s="13">
        <v>11486</v>
      </c>
      <c r="D18">
        <f>_xlfn.XLOOKUP(B18,'Reports - New Category'!$B$4:$B$61,'Reports - New Category'!$A$4:$A$61,"no")</f>
        <v>14</v>
      </c>
    </row>
    <row r="19" spans="2:4">
      <c r="B19" s="15" t="s">
        <v>125</v>
      </c>
      <c r="C19" s="13">
        <v>14170</v>
      </c>
      <c r="D19">
        <f>_xlfn.XLOOKUP(B19,'Reports - New Category'!$B$4:$B$61,'Reports - New Category'!$A$4:$A$61,"no")</f>
        <v>12</v>
      </c>
    </row>
    <row r="20" spans="2:4">
      <c r="B20" s="15" t="s">
        <v>41</v>
      </c>
      <c r="C20" s="13">
        <v>14507</v>
      </c>
      <c r="D20">
        <f>_xlfn.XLOOKUP(B20,'Reports - New Category'!$B$4:$B$61,'Reports - New Category'!$A$4:$A$61,"no")</f>
        <v>13</v>
      </c>
    </row>
    <row r="21" spans="2:4">
      <c r="B21" s="15" t="s">
        <v>124</v>
      </c>
      <c r="C21" s="13">
        <v>16935</v>
      </c>
      <c r="D21">
        <f>_xlfn.XLOOKUP(B21,'Reports - New Category'!$B$4:$B$61,'Reports - New Category'!$A$4:$A$61,"no")</f>
        <v>11</v>
      </c>
    </row>
    <row r="22" spans="2:4">
      <c r="B22" s="15" t="s">
        <v>52</v>
      </c>
      <c r="C22" s="13">
        <v>22335</v>
      </c>
      <c r="D22">
        <f>_xlfn.XLOOKUP(B22,'Reports - New Category'!$B$4:$B$61,'Reports - New Category'!$A$4:$A$61,"no")</f>
        <v>10</v>
      </c>
    </row>
    <row r="23" spans="2:4">
      <c r="B23" s="15" t="s">
        <v>61</v>
      </c>
      <c r="C23" s="13">
        <v>24090</v>
      </c>
      <c r="D23">
        <f>_xlfn.XLOOKUP(B23,'Reports - New Category'!$B$4:$B$61,'Reports - New Category'!$A$4:$A$61,"no")</f>
        <v>9</v>
      </c>
    </row>
    <row r="24" spans="2:4">
      <c r="B24" s="15" t="s">
        <v>73</v>
      </c>
      <c r="C24" s="13">
        <v>26080</v>
      </c>
      <c r="D24">
        <f>_xlfn.XLOOKUP(B24,'Reports - New Category'!$B$4:$B$61,'Reports - New Category'!$A$4:$A$61,"no")</f>
        <v>8</v>
      </c>
    </row>
    <row r="25" spans="2:4" ht="15">
      <c r="B25" s="16" t="s">
        <v>34</v>
      </c>
      <c r="C25" s="16">
        <v>28004</v>
      </c>
      <c r="D25" s="16">
        <f>_xlfn.XLOOKUP(B25,'Reports - New Category'!$B$4:$B$61,'Reports - New Category'!$A$4:$A$61,"no")</f>
        <v>7</v>
      </c>
    </row>
    <row r="26" spans="2:4">
      <c r="B26" s="15" t="s">
        <v>119</v>
      </c>
      <c r="C26" s="13">
        <v>54351</v>
      </c>
      <c r="D26">
        <f>_xlfn.XLOOKUP(B26,'Reports - New Category'!$B$4:$B$61,'Reports - New Category'!$A$4:$A$61,"no")</f>
        <v>5</v>
      </c>
    </row>
    <row r="27" spans="2:4">
      <c r="B27" s="15" t="s">
        <v>18</v>
      </c>
      <c r="C27" s="13">
        <v>73639</v>
      </c>
      <c r="D27">
        <f>_xlfn.XLOOKUP(B27,'Reports - New Category'!$B$4:$B$61,'Reports - New Category'!$A$4:$A$61,"no")</f>
        <v>6</v>
      </c>
    </row>
    <row r="28" spans="2:4">
      <c r="B28" s="15" t="s">
        <v>84</v>
      </c>
      <c r="C28" s="13">
        <v>92303</v>
      </c>
      <c r="D28">
        <f>_xlfn.XLOOKUP(B28,'Reports - New Category'!$B$4:$B$61,'Reports - New Category'!$A$4:$A$61,"no")</f>
        <v>4</v>
      </c>
    </row>
    <row r="29" spans="2:4">
      <c r="B29" s="15" t="s">
        <v>10</v>
      </c>
      <c r="C29" s="13">
        <v>101501</v>
      </c>
      <c r="D29">
        <f>_xlfn.XLOOKUP(B29,'Reports - New Category'!$B$4:$B$61,'Reports - New Category'!$A$4:$A$61,"no")</f>
        <v>3</v>
      </c>
    </row>
    <row r="30" spans="2:4">
      <c r="B30" s="15" t="s">
        <v>116</v>
      </c>
      <c r="C30" s="13">
        <v>118996</v>
      </c>
      <c r="D30">
        <f>_xlfn.XLOOKUP(B30,'Reports - New Category'!$B$4:$B$61,'Reports - New Category'!$A$4:$A$61,"no")</f>
        <v>2</v>
      </c>
    </row>
    <row r="31" spans="2:4">
      <c r="B31" s="15" t="s">
        <v>83</v>
      </c>
      <c r="C31" s="13">
        <v>121795</v>
      </c>
      <c r="D31">
        <f>_xlfn.XLOOKUP(B31,'Reports - New Category'!$B$4:$B$61,'Reports - New Category'!$A$4:$A$61,"no")</f>
        <v>1</v>
      </c>
    </row>
  </sheetData>
  <autoFilter ref="B1:D31" xr:uid="{169C631A-7A52-4F67-8C24-2DE0B8F73AC1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AA1B2-CBBC-4311-9EA8-E57D1924559C}">
  <dimension ref="B1:D66"/>
  <sheetViews>
    <sheetView topLeftCell="A36" workbookViewId="0">
      <selection activeCell="D42" sqref="D42"/>
    </sheetView>
  </sheetViews>
  <sheetFormatPr defaultRowHeight="14.25"/>
  <cols>
    <col min="3" max="3" width="69.125" customWidth="1"/>
    <col min="4" max="4" width="22.75" customWidth="1"/>
  </cols>
  <sheetData>
    <row r="1" spans="2:4" ht="15">
      <c r="B1" s="21" t="s">
        <v>199</v>
      </c>
      <c r="C1" s="21" t="s">
        <v>1</v>
      </c>
      <c r="D1" s="21" t="s">
        <v>196</v>
      </c>
    </row>
    <row r="2" spans="2:4" ht="15">
      <c r="B2">
        <v>1</v>
      </c>
      <c r="C2" s="22" t="s">
        <v>83</v>
      </c>
      <c r="D2" s="22">
        <v>121795</v>
      </c>
    </row>
    <row r="3" spans="2:4" ht="15">
      <c r="B3">
        <v>2</v>
      </c>
      <c r="C3" s="22" t="s">
        <v>116</v>
      </c>
      <c r="D3" s="22">
        <v>118996</v>
      </c>
    </row>
    <row r="4" spans="2:4" ht="15">
      <c r="B4">
        <v>3</v>
      </c>
      <c r="C4" s="22" t="s">
        <v>10</v>
      </c>
      <c r="D4" s="22">
        <v>101501</v>
      </c>
    </row>
    <row r="5" spans="2:4" ht="15">
      <c r="B5">
        <v>4</v>
      </c>
      <c r="C5" s="22" t="s">
        <v>84</v>
      </c>
      <c r="D5" s="22">
        <v>92303</v>
      </c>
    </row>
    <row r="6" spans="2:4" ht="15">
      <c r="B6">
        <v>5</v>
      </c>
      <c r="C6" s="22" t="s">
        <v>18</v>
      </c>
      <c r="D6" s="22">
        <v>73639</v>
      </c>
    </row>
    <row r="7" spans="2:4" ht="15">
      <c r="B7">
        <v>6</v>
      </c>
      <c r="C7" s="22" t="s">
        <v>119</v>
      </c>
      <c r="D7" s="22">
        <v>54351</v>
      </c>
    </row>
    <row r="8" spans="2:4" ht="15">
      <c r="B8">
        <v>7</v>
      </c>
      <c r="C8" s="22" t="s">
        <v>34</v>
      </c>
      <c r="D8" s="22">
        <v>28004</v>
      </c>
    </row>
    <row r="9" spans="2:4" ht="15">
      <c r="B9">
        <v>8</v>
      </c>
      <c r="C9" s="22" t="s">
        <v>73</v>
      </c>
      <c r="D9" s="22">
        <v>26080</v>
      </c>
    </row>
    <row r="10" spans="2:4" ht="15">
      <c r="B10">
        <v>9</v>
      </c>
      <c r="C10" s="22" t="s">
        <v>61</v>
      </c>
      <c r="D10" s="22">
        <v>24090</v>
      </c>
    </row>
    <row r="11" spans="2:4" ht="15">
      <c r="B11">
        <v>10</v>
      </c>
      <c r="C11" s="22" t="s">
        <v>52</v>
      </c>
      <c r="D11" s="22">
        <v>22335</v>
      </c>
    </row>
    <row r="12" spans="2:4" ht="15">
      <c r="B12">
        <v>11</v>
      </c>
      <c r="C12" s="22" t="s">
        <v>124</v>
      </c>
      <c r="D12" s="22">
        <v>16935</v>
      </c>
    </row>
    <row r="13" spans="2:4" ht="15">
      <c r="B13">
        <v>12</v>
      </c>
      <c r="C13" s="22" t="s">
        <v>41</v>
      </c>
      <c r="D13" s="22">
        <v>14507</v>
      </c>
    </row>
    <row r="14" spans="2:4" ht="15">
      <c r="B14">
        <v>13</v>
      </c>
      <c r="C14" s="22" t="s">
        <v>125</v>
      </c>
      <c r="D14" s="22">
        <v>14170</v>
      </c>
    </row>
    <row r="15" spans="2:4" ht="15">
      <c r="B15">
        <v>14</v>
      </c>
      <c r="C15" s="22" t="s">
        <v>33</v>
      </c>
      <c r="D15" s="22">
        <v>11486</v>
      </c>
    </row>
    <row r="16" spans="2:4" ht="15">
      <c r="B16">
        <v>15</v>
      </c>
      <c r="C16" s="22" t="s">
        <v>127</v>
      </c>
      <c r="D16" s="22">
        <v>10952</v>
      </c>
    </row>
    <row r="17" spans="2:4" ht="15">
      <c r="B17">
        <v>16</v>
      </c>
      <c r="C17" s="22" t="s">
        <v>130</v>
      </c>
      <c r="D17" s="22">
        <v>9300</v>
      </c>
    </row>
    <row r="18" spans="2:4" ht="15">
      <c r="B18">
        <v>17</v>
      </c>
      <c r="C18" s="22" t="s">
        <v>13</v>
      </c>
      <c r="D18" s="22">
        <v>9072</v>
      </c>
    </row>
    <row r="19" spans="2:4" ht="15">
      <c r="B19">
        <v>18</v>
      </c>
      <c r="C19" s="22" t="s">
        <v>37</v>
      </c>
      <c r="D19" s="22">
        <v>8459</v>
      </c>
    </row>
    <row r="20" spans="2:4" ht="15">
      <c r="B20">
        <v>19</v>
      </c>
      <c r="C20" s="22" t="s">
        <v>39</v>
      </c>
      <c r="D20" s="22">
        <v>8342</v>
      </c>
    </row>
    <row r="21" spans="2:4" ht="15">
      <c r="B21">
        <v>20</v>
      </c>
      <c r="C21" s="22" t="s">
        <v>67</v>
      </c>
      <c r="D21" s="22">
        <v>7998</v>
      </c>
    </row>
    <row r="22" spans="2:4" ht="15">
      <c r="B22">
        <v>21</v>
      </c>
      <c r="C22" s="22" t="s">
        <v>129</v>
      </c>
      <c r="D22" s="22">
        <v>7953</v>
      </c>
    </row>
    <row r="23" spans="2:4" ht="15">
      <c r="B23">
        <v>22</v>
      </c>
      <c r="C23" s="22" t="s">
        <v>7</v>
      </c>
      <c r="D23" s="22">
        <v>7742</v>
      </c>
    </row>
    <row r="24" spans="2:4" ht="15">
      <c r="B24">
        <v>23</v>
      </c>
      <c r="C24" s="22" t="s">
        <v>198</v>
      </c>
      <c r="D24" s="22">
        <v>5387</v>
      </c>
    </row>
    <row r="25" spans="2:4" ht="15">
      <c r="B25">
        <v>24</v>
      </c>
      <c r="C25" s="22" t="s">
        <v>11</v>
      </c>
      <c r="D25" s="22">
        <v>4958</v>
      </c>
    </row>
    <row r="26" spans="2:4" ht="15">
      <c r="B26">
        <v>25</v>
      </c>
      <c r="C26" s="22" t="s">
        <v>12</v>
      </c>
      <c r="D26" s="22">
        <v>4719</v>
      </c>
    </row>
    <row r="27" spans="2:4" ht="15">
      <c r="B27">
        <v>26</v>
      </c>
      <c r="C27" s="22" t="s">
        <v>131</v>
      </c>
      <c r="D27" s="22">
        <v>4311</v>
      </c>
    </row>
    <row r="28" spans="2:4" ht="15">
      <c r="B28">
        <v>27</v>
      </c>
      <c r="C28" s="22" t="s">
        <v>133</v>
      </c>
      <c r="D28" s="22">
        <v>3983</v>
      </c>
    </row>
    <row r="29" spans="2:4" ht="15">
      <c r="B29">
        <v>28</v>
      </c>
      <c r="C29" s="22" t="s">
        <v>6</v>
      </c>
      <c r="D29" s="22">
        <v>3004</v>
      </c>
    </row>
    <row r="30" spans="2:4" ht="15">
      <c r="B30">
        <v>29</v>
      </c>
      <c r="C30" s="22" t="s">
        <v>17</v>
      </c>
      <c r="D30" s="22">
        <v>2977</v>
      </c>
    </row>
    <row r="31" spans="2:4" ht="15">
      <c r="B31">
        <v>30</v>
      </c>
      <c r="C31" s="22" t="s">
        <v>60</v>
      </c>
      <c r="D31" s="22">
        <v>2785</v>
      </c>
    </row>
    <row r="32" spans="2:4" ht="15">
      <c r="B32">
        <v>31</v>
      </c>
      <c r="C32" s="22" t="s">
        <v>15</v>
      </c>
      <c r="D32" s="22">
        <v>1691</v>
      </c>
    </row>
    <row r="33" spans="2:4" ht="15">
      <c r="B33">
        <v>32</v>
      </c>
      <c r="C33" s="22" t="s">
        <v>136</v>
      </c>
      <c r="D33" s="22">
        <v>1670</v>
      </c>
    </row>
    <row r="34" spans="2:4" ht="15">
      <c r="B34">
        <v>33</v>
      </c>
      <c r="C34" s="22" t="s">
        <v>134</v>
      </c>
      <c r="D34" s="22">
        <v>1504</v>
      </c>
    </row>
    <row r="35" spans="2:4" ht="15">
      <c r="B35">
        <v>34</v>
      </c>
      <c r="C35" s="22" t="s">
        <v>138</v>
      </c>
      <c r="D35" s="22">
        <v>1495</v>
      </c>
    </row>
    <row r="36" spans="2:4" ht="15">
      <c r="B36">
        <v>35</v>
      </c>
      <c r="C36" s="22" t="s">
        <v>40</v>
      </c>
      <c r="D36" s="22">
        <v>1297</v>
      </c>
    </row>
    <row r="37" spans="2:4" ht="15">
      <c r="B37">
        <v>36</v>
      </c>
      <c r="C37" s="22" t="s">
        <v>42</v>
      </c>
      <c r="D37" s="22">
        <v>1296</v>
      </c>
    </row>
    <row r="38" spans="2:4" ht="15">
      <c r="B38">
        <v>37</v>
      </c>
      <c r="C38" s="22" t="s">
        <v>139</v>
      </c>
      <c r="D38" s="22">
        <v>1263</v>
      </c>
    </row>
    <row r="39" spans="2:4" ht="15">
      <c r="B39">
        <v>38</v>
      </c>
      <c r="C39" s="22" t="s">
        <v>140</v>
      </c>
      <c r="D39" s="22">
        <v>1020</v>
      </c>
    </row>
    <row r="40" spans="2:4" ht="15">
      <c r="B40">
        <v>39</v>
      </c>
      <c r="C40" s="22" t="s">
        <v>27</v>
      </c>
      <c r="D40" s="22">
        <v>934</v>
      </c>
    </row>
    <row r="41" spans="2:4" ht="15">
      <c r="B41">
        <v>40</v>
      </c>
      <c r="C41" s="22" t="s">
        <v>143</v>
      </c>
      <c r="D41" s="22">
        <v>468</v>
      </c>
    </row>
    <row r="42" spans="2:4" ht="15">
      <c r="B42" s="19">
        <v>41</v>
      </c>
      <c r="C42" s="19" t="s">
        <v>142</v>
      </c>
      <c r="D42" s="19">
        <v>459</v>
      </c>
    </row>
    <row r="43" spans="2:4" ht="15">
      <c r="B43" s="19">
        <v>42</v>
      </c>
      <c r="C43" s="19" t="s">
        <v>46</v>
      </c>
      <c r="D43" s="19">
        <v>372</v>
      </c>
    </row>
    <row r="44" spans="2:4" ht="15">
      <c r="B44" s="19">
        <v>43</v>
      </c>
      <c r="C44" s="19" t="s">
        <v>49</v>
      </c>
      <c r="D44" s="19">
        <v>297</v>
      </c>
    </row>
    <row r="45" spans="2:4" ht="15">
      <c r="B45" s="19">
        <v>44</v>
      </c>
      <c r="C45" s="19" t="s">
        <v>57</v>
      </c>
      <c r="D45" s="19">
        <v>267</v>
      </c>
    </row>
    <row r="46" spans="2:4" ht="15">
      <c r="B46" s="19">
        <v>45</v>
      </c>
      <c r="C46" s="19" t="s">
        <v>54</v>
      </c>
      <c r="D46" s="19">
        <v>253</v>
      </c>
    </row>
    <row r="47" spans="2:4" ht="15">
      <c r="B47" s="19">
        <v>46</v>
      </c>
      <c r="C47" s="19" t="s">
        <v>87</v>
      </c>
      <c r="D47" s="19">
        <v>229</v>
      </c>
    </row>
    <row r="48" spans="2:4" ht="15">
      <c r="B48" s="19">
        <v>47</v>
      </c>
      <c r="C48" s="19" t="s">
        <v>145</v>
      </c>
      <c r="D48" s="19">
        <v>191</v>
      </c>
    </row>
    <row r="49" spans="2:4" ht="15">
      <c r="B49" s="19">
        <v>48</v>
      </c>
      <c r="C49" s="19" t="s">
        <v>144</v>
      </c>
      <c r="D49" s="19">
        <v>185</v>
      </c>
    </row>
    <row r="50" spans="2:4" ht="15">
      <c r="B50" s="19">
        <v>49</v>
      </c>
      <c r="C50" s="19" t="s">
        <v>147</v>
      </c>
      <c r="D50" s="19">
        <v>182</v>
      </c>
    </row>
    <row r="51" spans="2:4" ht="15">
      <c r="B51" s="19">
        <v>50</v>
      </c>
      <c r="C51" s="19" t="s">
        <v>146</v>
      </c>
      <c r="D51" s="19">
        <v>175</v>
      </c>
    </row>
    <row r="52" spans="2:4" ht="15">
      <c r="B52" s="19">
        <v>51</v>
      </c>
      <c r="C52" s="19" t="s">
        <v>151</v>
      </c>
      <c r="D52" s="19">
        <v>141</v>
      </c>
    </row>
    <row r="53" spans="2:4" ht="15">
      <c r="B53" s="19">
        <v>52</v>
      </c>
      <c r="C53" s="19" t="s">
        <v>152</v>
      </c>
      <c r="D53" s="19">
        <v>125</v>
      </c>
    </row>
    <row r="54" spans="2:4" ht="15">
      <c r="B54" s="19">
        <v>53</v>
      </c>
      <c r="C54" s="19" t="s">
        <v>148</v>
      </c>
      <c r="D54" s="19">
        <v>123</v>
      </c>
    </row>
    <row r="55" spans="2:4" ht="15">
      <c r="B55" s="19">
        <v>54</v>
      </c>
      <c r="C55" s="19" t="s">
        <v>149</v>
      </c>
      <c r="D55" s="19">
        <v>120</v>
      </c>
    </row>
    <row r="56" spans="2:4" ht="15">
      <c r="B56" s="19">
        <v>55</v>
      </c>
      <c r="C56" s="19" t="s">
        <v>150</v>
      </c>
      <c r="D56" s="19">
        <v>108</v>
      </c>
    </row>
    <row r="57" spans="2:4" ht="15">
      <c r="B57" s="19">
        <v>56</v>
      </c>
      <c r="C57" s="19" t="s">
        <v>63</v>
      </c>
      <c r="D57" s="19">
        <v>108</v>
      </c>
    </row>
    <row r="58" spans="2:4" ht="15">
      <c r="B58" s="19">
        <v>57</v>
      </c>
      <c r="C58" s="19" t="s">
        <v>153</v>
      </c>
      <c r="D58" s="19">
        <v>67</v>
      </c>
    </row>
    <row r="59" spans="2:4" ht="15">
      <c r="B59" s="19">
        <v>58</v>
      </c>
      <c r="C59" s="19" t="s">
        <v>155</v>
      </c>
      <c r="D59" s="19">
        <v>60</v>
      </c>
    </row>
    <row r="60" spans="2:4" ht="15">
      <c r="B60" s="19">
        <v>59</v>
      </c>
      <c r="C60" s="19" t="s">
        <v>157</v>
      </c>
      <c r="D60" s="19">
        <v>50</v>
      </c>
    </row>
    <row r="61" spans="2:4" ht="15">
      <c r="B61" s="19">
        <v>60</v>
      </c>
      <c r="C61" s="19" t="s">
        <v>86</v>
      </c>
      <c r="D61" s="19">
        <v>31</v>
      </c>
    </row>
    <row r="62" spans="2:4" ht="15">
      <c r="B62" s="19">
        <v>61</v>
      </c>
      <c r="C62" s="19" t="s">
        <v>200</v>
      </c>
      <c r="D62" s="19">
        <v>26</v>
      </c>
    </row>
    <row r="63" spans="2:4" ht="15">
      <c r="B63" s="19">
        <v>62</v>
      </c>
      <c r="C63" s="19" t="s">
        <v>201</v>
      </c>
      <c r="D63" s="19">
        <v>24</v>
      </c>
    </row>
    <row r="64" spans="2:4" ht="15">
      <c r="B64" s="19">
        <v>63</v>
      </c>
      <c r="C64" s="19" t="s">
        <v>202</v>
      </c>
      <c r="D64" s="19">
        <v>11</v>
      </c>
    </row>
    <row r="65" spans="2:4" ht="15">
      <c r="B65" s="19">
        <v>64</v>
      </c>
      <c r="C65" s="19" t="s">
        <v>203</v>
      </c>
      <c r="D65" s="19">
        <v>5</v>
      </c>
    </row>
    <row r="66" spans="2:4" ht="15">
      <c r="B66" s="19">
        <v>65</v>
      </c>
      <c r="C66" s="19" t="s">
        <v>204</v>
      </c>
      <c r="D66" s="19">
        <v>2</v>
      </c>
    </row>
  </sheetData>
  <autoFilter ref="C1:D1" xr:uid="{A65AA1B2-CBBC-4311-9EA8-E57D1924559C}">
    <sortState xmlns:xlrd2="http://schemas.microsoft.com/office/spreadsheetml/2017/richdata2" ref="C2:D66">
      <sortCondition descending="1" ref="D1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b268d57-2a6f-4e04-b0de-6938583d5ebc}" enabled="0" method="" siteId="{5b268d57-2a6f-4e04-b0de-6938583d5e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2026-07-31T21:03:14Z</dcterms:created>
  <dcterms:modified xsi:type="dcterms:W3CDTF">2026-08-20T17:28:13Z</dcterms:modified>
  <cp:category/>
  <cp:contentStatus/>
</cp:coreProperties>
</file>